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slicerCaches/slicerCache32.xml" ContentType="application/vnd.ms-excel.slicerCache+xml"/>
  <Override PartName="/xl/slicerCaches/slicerCache3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slicers/slicer2.xml" ContentType="application/vnd.ms-excel.slicer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slicers/slicer3.xml" ContentType="application/vnd.ms-excel.slicer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slicers/slicer4.xml" ContentType="application/vnd.ms-excel.slicer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slicers/slicer5.xml" ContentType="application/vnd.ms-excel.slicer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slicers/slicer6.xml" ContentType="application/vnd.ms-excel.slicer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slicers/slicer7.xml" ContentType="application/vnd.ms-excel.slicer+xml"/>
  <Override PartName="/xl/pivotTables/pivotTable7.xml" ContentType="application/vnd.openxmlformats-officedocument.spreadsheetml.pivotTable+xml"/>
  <Override PartName="/xl/drawings/drawing16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slicers/slicer8.xml" ContentType="application/vnd.ms-excel.slicer+xml"/>
  <Override PartName="/xl/pivotTables/pivotTable8.xml" ContentType="application/vnd.openxmlformats-officedocument.spreadsheetml.pivotTable+xml"/>
  <Override PartName="/xl/drawings/drawing17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slicers/slicer9.xml" ContentType="application/vnd.ms-excel.slicer+xml"/>
  <Override PartName="/xl/pivotTables/pivotTable9.xml" ContentType="application/vnd.openxmlformats-officedocument.spreadsheetml.pivotTable+xml"/>
  <Override PartName="/xl/drawings/drawing18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slicers/slicer10.xml" ContentType="application/vnd.ms-excel.slicer+xml"/>
  <Override PartName="/xl/drawings/drawing19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tables/table10.xml" ContentType="application/vnd.openxmlformats-officedocument.spreadsheetml.table+xml"/>
  <Override PartName="/xl/drawings/drawing20.xml" ContentType="application/vnd.openxmlformats-officedocument.drawing+xml"/>
  <Override PartName="/xl/ctrlProps/ctrlProp213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1.xml" ContentType="application/vnd.openxmlformats-officedocument.drawing+xml"/>
  <Override PartName="/xl/ctrlProps/ctrlProp214.xml" ContentType="application/vnd.ms-excel.controlproperties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dmi\Downloads\"/>
    </mc:Choice>
  </mc:AlternateContent>
  <xr:revisionPtr revIDLastSave="0" documentId="13_ncr:1_{A2DFB670-B818-49C9-A536-20868A140918}" xr6:coauthVersionLast="47" xr6:coauthVersionMax="47" xr10:uidLastSave="{00000000-0000-0000-0000-000000000000}"/>
  <bookViews>
    <workbookView showSheetTabs="0" xWindow="-108" yWindow="-108" windowWidth="23256" windowHeight="12456" tabRatio="846" xr2:uid="{00000000-000D-0000-FFFF-FFFF00000000}"/>
  </bookViews>
  <sheets>
    <sheet name="HOME" sheetId="11" r:id="rId1"/>
    <sheet name="RESUMO_FATURAMENTO" sheetId="10" r:id="rId2"/>
    <sheet name="LANC_OS" sheetId="1" r:id="rId3"/>
    <sheet name="LANC_COMPRA" sheetId="2" r:id="rId4"/>
    <sheet name="LANC_FAT" sheetId="3" r:id="rId5"/>
    <sheet name="LAN_HORAS" sheetId="4" r:id="rId6"/>
    <sheet name="LANC_DESPESAS" sheetId="5" r:id="rId7"/>
    <sheet name="LANC_DESLOC" sheetId="6" r:id="rId8"/>
    <sheet name="LANC_ORCAMENTO" sheetId="28" r:id="rId9"/>
    <sheet name="DIN_LAN_OS" sheetId="12" r:id="rId10"/>
    <sheet name="DIN_LAN_FATU" sheetId="25" r:id="rId11"/>
    <sheet name="DIN_LAN_COMPRA" sheetId="13" r:id="rId12"/>
    <sheet name="DIN_LAN_HORAS" sheetId="14" r:id="rId13"/>
    <sheet name="DIN_LAN_DESL" sheetId="15" r:id="rId14"/>
    <sheet name="DIN_LAN_DESP" sheetId="17" r:id="rId15"/>
    <sheet name="DIN_LAN_OP_EXTRA" sheetId="26" r:id="rId16"/>
    <sheet name="DIN_LAN_FATU_EXTRA" sheetId="27" r:id="rId17"/>
    <sheet name="DIN_LAN_ORC" sheetId="31" r:id="rId18"/>
    <sheet name="CALENDARIO" sheetId="7" r:id="rId19"/>
    <sheet name="VALORES_HXH" sheetId="8" r:id="rId20"/>
    <sheet name="AP" sheetId="30" r:id="rId21"/>
    <sheet name="DATASHOBOARD" sheetId="32" r:id="rId22"/>
  </sheets>
  <definedNames>
    <definedName name="_xlnm.Print_Area" localSheetId="20">AP!$B$1:$L$49</definedName>
    <definedName name="_xlnm.Print_Area" localSheetId="14">DIN_LAN_DESP!$C$4:$M$63</definedName>
    <definedName name="SegmentaçãodeDados_ANO_FINAL.">#N/A</definedName>
    <definedName name="SegmentaçãodeDados_CATEGORIA">#N/A</definedName>
    <definedName name="SegmentaçãodeDados_CLASSIFICAÇÃO">#N/A</definedName>
    <definedName name="SegmentaçãodeDados_CLIENTE_INTERNO">#N/A</definedName>
    <definedName name="SegmentaçãodeDados_CLIENTE_INTERNO1">#N/A</definedName>
    <definedName name="SegmentaçãodeDados_CLIENTE_INTERNO11">#N/A</definedName>
    <definedName name="SegmentaçãodeDados_CLIENTE_INTERNO2">#N/A</definedName>
    <definedName name="SegmentaçãodeDados_FUNCIONARIO">#N/A</definedName>
    <definedName name="SegmentaçãodeDados_FUNCIONARIO1">#N/A</definedName>
    <definedName name="SegmentaçãodeDados_MÊS">#N/A</definedName>
    <definedName name="SegmentaçãodeDados_MÊS_COMPRA">#N/A</definedName>
    <definedName name="SegmentaçãodeDados_MÊS_FAT.1">#N/A</definedName>
    <definedName name="SegmentaçãodeDados_MÊS_FATURAMENTO">#N/A</definedName>
    <definedName name="SegmentaçãodeDados_MÊS_FATURAMENTO1">#N/A</definedName>
    <definedName name="SegmentaçãodeDados_MÊS_FATURAMENTO2">#N/A</definedName>
    <definedName name="SegmentaçãodeDados_MÊS_FATURAMENTO3">#N/A</definedName>
    <definedName name="SegmentaçãodeDados_MÊS1">#N/A</definedName>
    <definedName name="SegmentaçãodeDados_MÊS2">#N/A</definedName>
    <definedName name="SegmentaçãodeDados_MÊS3">#N/A</definedName>
    <definedName name="SegmentaçãodeDados_NATUREZA">#N/A</definedName>
    <definedName name="SegmentaçãodeDados_OP_OS">#N/A</definedName>
    <definedName name="SegmentaçãodeDados_OP_OS1">#N/A</definedName>
    <definedName name="SegmentaçãodeDados_OS_OP">#N/A</definedName>
    <definedName name="SegmentaçãodeDados_OS_OP1">#N/A</definedName>
    <definedName name="SegmentaçãodeDados_REEMBOLSAR?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VENDEDOR">#N/A</definedName>
    <definedName name="SegmentaçãodeDados_VENDEDOR1">#N/A</definedName>
    <definedName name="SegmentaçãodeDados_VENDEDOR11">#N/A</definedName>
    <definedName name="SegmentaçãodeDados_VENDEDOR2">#N/A</definedName>
    <definedName name="SegmentaçãodeDados_VENDEDOR3">#N/A</definedName>
  </definedNames>
  <calcPr calcId="191029"/>
  <pivotCaches>
    <pivotCache cacheId="0" r:id="rId23"/>
    <pivotCache cacheId="1" r:id="rId24"/>
    <pivotCache cacheId="2" r:id="rId25"/>
    <pivotCache cacheId="3" r:id="rId26"/>
    <pivotCache cacheId="4" r:id="rId27"/>
    <pivotCache cacheId="5" r:id="rId28"/>
    <pivotCache cacheId="21" r:id="rId29"/>
  </pivotCaches>
  <extLst>
    <ext xmlns:x14="http://schemas.microsoft.com/office/spreadsheetml/2009/9/main" uri="{BBE1A952-AA13-448e-AADC-164F8A28A991}">
      <x14:slicerCaches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28" l="1"/>
  <c r="M7" i="28"/>
  <c r="M8" i="28"/>
  <c r="M9" i="28"/>
  <c r="M10" i="28"/>
  <c r="M5" i="28"/>
  <c r="T5" i="1" l="1"/>
  <c r="U5" i="1"/>
  <c r="V5" i="1"/>
  <c r="X5" i="1"/>
  <c r="Y5" i="1"/>
  <c r="Z5" i="1"/>
  <c r="AA5" i="1"/>
  <c r="AB5" i="1"/>
  <c r="AC5" i="1"/>
  <c r="AD5" i="1"/>
  <c r="AK5" i="1"/>
  <c r="AM5" i="1"/>
  <c r="T6" i="1"/>
  <c r="U6" i="1"/>
  <c r="V6" i="1"/>
  <c r="L6" i="1" s="1"/>
  <c r="X6" i="1"/>
  <c r="Y6" i="1"/>
  <c r="Z6" i="1"/>
  <c r="AA6" i="1"/>
  <c r="AB6" i="1"/>
  <c r="AC6" i="1"/>
  <c r="AD6" i="1"/>
  <c r="AM6" i="1"/>
  <c r="T7" i="1"/>
  <c r="U7" i="1"/>
  <c r="V7" i="1"/>
  <c r="X7" i="1"/>
  <c r="Y7" i="1"/>
  <c r="Z7" i="1"/>
  <c r="AA7" i="1"/>
  <c r="AB7" i="1"/>
  <c r="AC7" i="1"/>
  <c r="AD7" i="1"/>
  <c r="AM7" i="1"/>
  <c r="T8" i="1"/>
  <c r="U8" i="1"/>
  <c r="V8" i="1"/>
  <c r="X8" i="1"/>
  <c r="Y8" i="1"/>
  <c r="Z8" i="1"/>
  <c r="AA8" i="1"/>
  <c r="AB8" i="1"/>
  <c r="AC8" i="1"/>
  <c r="AD8" i="1"/>
  <c r="AM8" i="1"/>
  <c r="T9" i="1"/>
  <c r="U9" i="1"/>
  <c r="V9" i="1"/>
  <c r="X9" i="1"/>
  <c r="Y9" i="1"/>
  <c r="Z9" i="1"/>
  <c r="AA9" i="1"/>
  <c r="AB9" i="1"/>
  <c r="AC9" i="1"/>
  <c r="AD9" i="1"/>
  <c r="AM9" i="1"/>
  <c r="T10" i="1"/>
  <c r="U10" i="1"/>
  <c r="V10" i="1"/>
  <c r="X10" i="1"/>
  <c r="Y10" i="1"/>
  <c r="Z10" i="1"/>
  <c r="AA10" i="1"/>
  <c r="AB10" i="1"/>
  <c r="AC10" i="1"/>
  <c r="AD10" i="1"/>
  <c r="AM10" i="1"/>
  <c r="T11" i="1"/>
  <c r="U11" i="1"/>
  <c r="V11" i="1"/>
  <c r="X11" i="1"/>
  <c r="Y11" i="1"/>
  <c r="Z11" i="1"/>
  <c r="AA11" i="1"/>
  <c r="AB11" i="1"/>
  <c r="AC11" i="1"/>
  <c r="AD11" i="1"/>
  <c r="AM11" i="1"/>
  <c r="T12" i="1"/>
  <c r="U12" i="1"/>
  <c r="V12" i="1"/>
  <c r="X12" i="1"/>
  <c r="Y12" i="1"/>
  <c r="Z12" i="1"/>
  <c r="AA12" i="1"/>
  <c r="AB12" i="1"/>
  <c r="AC12" i="1"/>
  <c r="AD12" i="1"/>
  <c r="AM12" i="1"/>
  <c r="T13" i="1"/>
  <c r="U13" i="1"/>
  <c r="V13" i="1"/>
  <c r="X13" i="1"/>
  <c r="Y13" i="1"/>
  <c r="Z13" i="1"/>
  <c r="AA13" i="1"/>
  <c r="AB13" i="1"/>
  <c r="AC13" i="1"/>
  <c r="AD13" i="1"/>
  <c r="AM13" i="1"/>
  <c r="T14" i="1"/>
  <c r="U14" i="1"/>
  <c r="V14" i="1"/>
  <c r="X14" i="1"/>
  <c r="Y14" i="1"/>
  <c r="Z14" i="1"/>
  <c r="AA14" i="1"/>
  <c r="AB14" i="1"/>
  <c r="AC14" i="1"/>
  <c r="AD14" i="1"/>
  <c r="AM14" i="1"/>
  <c r="T15" i="1"/>
  <c r="U15" i="1"/>
  <c r="V15" i="1"/>
  <c r="X15" i="1"/>
  <c r="Y15" i="1"/>
  <c r="Z15" i="1"/>
  <c r="AA15" i="1"/>
  <c r="AB15" i="1"/>
  <c r="AC15" i="1"/>
  <c r="AD15" i="1"/>
  <c r="AM15" i="1"/>
  <c r="T16" i="1"/>
  <c r="U16" i="1"/>
  <c r="V16" i="1"/>
  <c r="X16" i="1"/>
  <c r="Y16" i="1"/>
  <c r="Z16" i="1"/>
  <c r="AA16" i="1"/>
  <c r="AB16" i="1"/>
  <c r="AC16" i="1"/>
  <c r="AD16" i="1"/>
  <c r="AM16" i="1"/>
  <c r="T17" i="1"/>
  <c r="U17" i="1"/>
  <c r="V17" i="1"/>
  <c r="X17" i="1"/>
  <c r="Y17" i="1"/>
  <c r="Z17" i="1"/>
  <c r="AA17" i="1"/>
  <c r="AB17" i="1"/>
  <c r="AC17" i="1"/>
  <c r="AD17" i="1"/>
  <c r="AM17" i="1"/>
  <c r="T18" i="1"/>
  <c r="U18" i="1"/>
  <c r="V18" i="1"/>
  <c r="X18" i="1"/>
  <c r="Y18" i="1"/>
  <c r="Z18" i="1"/>
  <c r="AA18" i="1"/>
  <c r="AB18" i="1"/>
  <c r="AC18" i="1"/>
  <c r="AD18" i="1"/>
  <c r="AM18" i="1"/>
  <c r="T19" i="1"/>
  <c r="U19" i="1"/>
  <c r="V19" i="1"/>
  <c r="X19" i="1"/>
  <c r="Y19" i="1"/>
  <c r="Z19" i="1"/>
  <c r="AA19" i="1"/>
  <c r="AB19" i="1"/>
  <c r="AC19" i="1"/>
  <c r="AD19" i="1"/>
  <c r="AM19" i="1"/>
  <c r="T20" i="1"/>
  <c r="U20" i="1"/>
  <c r="V20" i="1"/>
  <c r="X20" i="1"/>
  <c r="Y20" i="1"/>
  <c r="Z20" i="1"/>
  <c r="AA20" i="1"/>
  <c r="AB20" i="1"/>
  <c r="AC20" i="1"/>
  <c r="AD20" i="1"/>
  <c r="AM20" i="1"/>
  <c r="T21" i="1"/>
  <c r="U21" i="1"/>
  <c r="V21" i="1"/>
  <c r="X21" i="1"/>
  <c r="Y21" i="1"/>
  <c r="Z21" i="1"/>
  <c r="AA21" i="1"/>
  <c r="AB21" i="1"/>
  <c r="AC21" i="1"/>
  <c r="AD21" i="1"/>
  <c r="AM21" i="1"/>
  <c r="T22" i="1"/>
  <c r="U22" i="1"/>
  <c r="V22" i="1"/>
  <c r="X22" i="1"/>
  <c r="Y22" i="1"/>
  <c r="Z22" i="1"/>
  <c r="AA22" i="1"/>
  <c r="AB22" i="1"/>
  <c r="AC22" i="1"/>
  <c r="AD22" i="1"/>
  <c r="AM22" i="1"/>
  <c r="T23" i="1"/>
  <c r="U23" i="1"/>
  <c r="V23" i="1"/>
  <c r="X23" i="1"/>
  <c r="Y23" i="1"/>
  <c r="Z23" i="1"/>
  <c r="AA23" i="1"/>
  <c r="AB23" i="1"/>
  <c r="AC23" i="1"/>
  <c r="AD23" i="1"/>
  <c r="AM23" i="1"/>
  <c r="T24" i="1"/>
  <c r="U24" i="1"/>
  <c r="V24" i="1"/>
  <c r="X24" i="1"/>
  <c r="Y24" i="1"/>
  <c r="Z24" i="1"/>
  <c r="AA24" i="1"/>
  <c r="AB24" i="1"/>
  <c r="AC24" i="1"/>
  <c r="AD24" i="1"/>
  <c r="AM24" i="1"/>
  <c r="T25" i="1"/>
  <c r="U25" i="1"/>
  <c r="V25" i="1"/>
  <c r="X25" i="1"/>
  <c r="Y25" i="1"/>
  <c r="Z25" i="1"/>
  <c r="AA25" i="1"/>
  <c r="AB25" i="1"/>
  <c r="AC25" i="1"/>
  <c r="AD25" i="1"/>
  <c r="AM25" i="1"/>
  <c r="T26" i="1"/>
  <c r="U26" i="1"/>
  <c r="V26" i="1"/>
  <c r="X26" i="1"/>
  <c r="Y26" i="1"/>
  <c r="Z26" i="1"/>
  <c r="AA26" i="1"/>
  <c r="AB26" i="1"/>
  <c r="AC26" i="1"/>
  <c r="AD26" i="1"/>
  <c r="AM26" i="1"/>
  <c r="T27" i="1"/>
  <c r="U27" i="1"/>
  <c r="V27" i="1"/>
  <c r="X27" i="1"/>
  <c r="Y27" i="1"/>
  <c r="Z27" i="1"/>
  <c r="AA27" i="1"/>
  <c r="AB27" i="1"/>
  <c r="AC27" i="1"/>
  <c r="AD27" i="1"/>
  <c r="AM27" i="1"/>
  <c r="T28" i="1"/>
  <c r="U28" i="1"/>
  <c r="V28" i="1"/>
  <c r="X28" i="1"/>
  <c r="Y28" i="1"/>
  <c r="Z28" i="1"/>
  <c r="AA28" i="1"/>
  <c r="AB28" i="1"/>
  <c r="AC28" i="1"/>
  <c r="AD28" i="1"/>
  <c r="AK28" i="1"/>
  <c r="AM28" i="1"/>
  <c r="T29" i="1"/>
  <c r="U29" i="1"/>
  <c r="V29" i="1"/>
  <c r="X29" i="1"/>
  <c r="Y29" i="1"/>
  <c r="Z29" i="1"/>
  <c r="AA29" i="1"/>
  <c r="AB29" i="1"/>
  <c r="AC29" i="1"/>
  <c r="AD29" i="1"/>
  <c r="AM29" i="1"/>
  <c r="T30" i="1"/>
  <c r="U30" i="1"/>
  <c r="V30" i="1"/>
  <c r="X30" i="1"/>
  <c r="Y30" i="1"/>
  <c r="Z30" i="1"/>
  <c r="AA30" i="1"/>
  <c r="AB30" i="1"/>
  <c r="AC30" i="1"/>
  <c r="AD30" i="1"/>
  <c r="AM30" i="1"/>
  <c r="T31" i="1"/>
  <c r="U31" i="1"/>
  <c r="V31" i="1"/>
  <c r="X31" i="1"/>
  <c r="Y31" i="1"/>
  <c r="Z31" i="1"/>
  <c r="AA31" i="1"/>
  <c r="AB31" i="1"/>
  <c r="AC31" i="1"/>
  <c r="AD31" i="1"/>
  <c r="AM31" i="1"/>
  <c r="T32" i="1"/>
  <c r="U32" i="1"/>
  <c r="V32" i="1"/>
  <c r="X32" i="1"/>
  <c r="Y32" i="1"/>
  <c r="Z32" i="1"/>
  <c r="AA32" i="1"/>
  <c r="AB32" i="1"/>
  <c r="AC32" i="1"/>
  <c r="AD32" i="1"/>
  <c r="AM32" i="1"/>
  <c r="T33" i="1"/>
  <c r="U33" i="1"/>
  <c r="V33" i="1"/>
  <c r="X33" i="1"/>
  <c r="Y33" i="1"/>
  <c r="Z33" i="1"/>
  <c r="AA33" i="1"/>
  <c r="AB33" i="1"/>
  <c r="AC33" i="1"/>
  <c r="AD33" i="1"/>
  <c r="AM33" i="1"/>
  <c r="T34" i="1"/>
  <c r="U34" i="1"/>
  <c r="V34" i="1"/>
  <c r="X34" i="1"/>
  <c r="Y34" i="1"/>
  <c r="Z34" i="1"/>
  <c r="AA34" i="1"/>
  <c r="AB34" i="1"/>
  <c r="AC34" i="1"/>
  <c r="AD34" i="1"/>
  <c r="AM34" i="1"/>
  <c r="T35" i="1"/>
  <c r="U35" i="1"/>
  <c r="V35" i="1"/>
  <c r="X35" i="1"/>
  <c r="Y35" i="1"/>
  <c r="Z35" i="1"/>
  <c r="AA35" i="1"/>
  <c r="AB35" i="1"/>
  <c r="AC35" i="1"/>
  <c r="AD35" i="1"/>
  <c r="AM35" i="1"/>
  <c r="T36" i="1"/>
  <c r="U36" i="1"/>
  <c r="V36" i="1"/>
  <c r="X36" i="1"/>
  <c r="Y36" i="1"/>
  <c r="Z36" i="1"/>
  <c r="AA36" i="1"/>
  <c r="AB36" i="1"/>
  <c r="AC36" i="1"/>
  <c r="AD36" i="1"/>
  <c r="AK36" i="1"/>
  <c r="AM36" i="1"/>
  <c r="T37" i="1"/>
  <c r="U37" i="1"/>
  <c r="V37" i="1"/>
  <c r="X37" i="1"/>
  <c r="Y37" i="1"/>
  <c r="Z37" i="1"/>
  <c r="AA37" i="1"/>
  <c r="AB37" i="1"/>
  <c r="AC37" i="1"/>
  <c r="AD37" i="1"/>
  <c r="AM37" i="1"/>
  <c r="T38" i="1"/>
  <c r="U38" i="1"/>
  <c r="V38" i="1"/>
  <c r="X38" i="1"/>
  <c r="Y38" i="1"/>
  <c r="Z38" i="1"/>
  <c r="AA38" i="1"/>
  <c r="AB38" i="1"/>
  <c r="AC38" i="1"/>
  <c r="AD38" i="1"/>
  <c r="AM38" i="1"/>
  <c r="T39" i="1"/>
  <c r="U39" i="1"/>
  <c r="V39" i="1"/>
  <c r="X39" i="1"/>
  <c r="Y39" i="1"/>
  <c r="Z39" i="1"/>
  <c r="AA39" i="1"/>
  <c r="AB39" i="1"/>
  <c r="AC39" i="1"/>
  <c r="AD39" i="1"/>
  <c r="AM39" i="1"/>
  <c r="T40" i="1"/>
  <c r="U40" i="1"/>
  <c r="V40" i="1"/>
  <c r="X40" i="1"/>
  <c r="Y40" i="1"/>
  <c r="Z40" i="1"/>
  <c r="AA40" i="1"/>
  <c r="AB40" i="1"/>
  <c r="AC40" i="1"/>
  <c r="AD40" i="1"/>
  <c r="AM40" i="1"/>
  <c r="T41" i="1"/>
  <c r="U41" i="1"/>
  <c r="V41" i="1"/>
  <c r="X41" i="1"/>
  <c r="Y41" i="1"/>
  <c r="Z41" i="1"/>
  <c r="AA41" i="1"/>
  <c r="AB41" i="1"/>
  <c r="AC41" i="1"/>
  <c r="AD41" i="1"/>
  <c r="AM41" i="1"/>
  <c r="T42" i="1"/>
  <c r="U42" i="1"/>
  <c r="V42" i="1"/>
  <c r="X42" i="1"/>
  <c r="Y42" i="1"/>
  <c r="Z42" i="1"/>
  <c r="AA42" i="1"/>
  <c r="AB42" i="1"/>
  <c r="AC42" i="1"/>
  <c r="AD42" i="1"/>
  <c r="AM42" i="1"/>
  <c r="T43" i="1"/>
  <c r="U43" i="1"/>
  <c r="V43" i="1"/>
  <c r="X43" i="1"/>
  <c r="Y43" i="1"/>
  <c r="Z43" i="1"/>
  <c r="AA43" i="1"/>
  <c r="AB43" i="1"/>
  <c r="AC43" i="1"/>
  <c r="AD43" i="1"/>
  <c r="AM43" i="1"/>
  <c r="T44" i="1"/>
  <c r="U44" i="1"/>
  <c r="V44" i="1"/>
  <c r="X44" i="1"/>
  <c r="Y44" i="1"/>
  <c r="Z44" i="1"/>
  <c r="AA44" i="1"/>
  <c r="AB44" i="1"/>
  <c r="AC44" i="1"/>
  <c r="AD44" i="1"/>
  <c r="AM44" i="1"/>
  <c r="T45" i="1"/>
  <c r="U45" i="1"/>
  <c r="V45" i="1"/>
  <c r="X45" i="1"/>
  <c r="Y45" i="1"/>
  <c r="Z45" i="1"/>
  <c r="AA45" i="1"/>
  <c r="AB45" i="1"/>
  <c r="AC45" i="1"/>
  <c r="AD45" i="1"/>
  <c r="AM45" i="1"/>
  <c r="T46" i="1"/>
  <c r="U46" i="1"/>
  <c r="V46" i="1"/>
  <c r="X46" i="1"/>
  <c r="Y46" i="1"/>
  <c r="Z46" i="1"/>
  <c r="AA46" i="1"/>
  <c r="AB46" i="1"/>
  <c r="AC46" i="1"/>
  <c r="AD46" i="1"/>
  <c r="AM46" i="1"/>
  <c r="T47" i="1"/>
  <c r="U47" i="1"/>
  <c r="V47" i="1"/>
  <c r="X47" i="1"/>
  <c r="Y47" i="1"/>
  <c r="Z47" i="1"/>
  <c r="AA47" i="1"/>
  <c r="AB47" i="1"/>
  <c r="AC47" i="1"/>
  <c r="AD47" i="1"/>
  <c r="AM47" i="1"/>
  <c r="T48" i="1"/>
  <c r="U48" i="1"/>
  <c r="V48" i="1"/>
  <c r="X48" i="1"/>
  <c r="Y48" i="1"/>
  <c r="Z48" i="1"/>
  <c r="AA48" i="1"/>
  <c r="AB48" i="1"/>
  <c r="AC48" i="1"/>
  <c r="AD48" i="1"/>
  <c r="AM48" i="1"/>
  <c r="T49" i="1"/>
  <c r="U49" i="1"/>
  <c r="V49" i="1"/>
  <c r="X49" i="1"/>
  <c r="Y49" i="1"/>
  <c r="Z49" i="1"/>
  <c r="AA49" i="1"/>
  <c r="AB49" i="1"/>
  <c r="AC49" i="1"/>
  <c r="AD49" i="1"/>
  <c r="AM49" i="1"/>
  <c r="T50" i="1"/>
  <c r="U50" i="1"/>
  <c r="V50" i="1"/>
  <c r="X50" i="1"/>
  <c r="Y50" i="1"/>
  <c r="Z50" i="1"/>
  <c r="AA50" i="1"/>
  <c r="AB50" i="1"/>
  <c r="AC50" i="1"/>
  <c r="AD50" i="1"/>
  <c r="AM50" i="1"/>
  <c r="T51" i="1"/>
  <c r="U51" i="1"/>
  <c r="V51" i="1"/>
  <c r="X51" i="1"/>
  <c r="Y51" i="1"/>
  <c r="Z51" i="1"/>
  <c r="AA51" i="1"/>
  <c r="AB51" i="1"/>
  <c r="AC51" i="1"/>
  <c r="AD51" i="1"/>
  <c r="AM51" i="1"/>
  <c r="T52" i="1"/>
  <c r="U52" i="1"/>
  <c r="V52" i="1"/>
  <c r="X52" i="1"/>
  <c r="Y52" i="1"/>
  <c r="Z52" i="1"/>
  <c r="AA52" i="1"/>
  <c r="AB52" i="1"/>
  <c r="AC52" i="1"/>
  <c r="AD52" i="1"/>
  <c r="AM52" i="1"/>
  <c r="T53" i="1"/>
  <c r="U53" i="1"/>
  <c r="V53" i="1"/>
  <c r="X53" i="1"/>
  <c r="Y53" i="1"/>
  <c r="Z53" i="1"/>
  <c r="AA53" i="1"/>
  <c r="AB53" i="1"/>
  <c r="AC53" i="1"/>
  <c r="AD53" i="1"/>
  <c r="AK53" i="1"/>
  <c r="AM53" i="1"/>
  <c r="T54" i="1"/>
  <c r="U54" i="1"/>
  <c r="V54" i="1"/>
  <c r="X54" i="1"/>
  <c r="Y54" i="1"/>
  <c r="Z54" i="1"/>
  <c r="AA54" i="1"/>
  <c r="AB54" i="1"/>
  <c r="AC54" i="1"/>
  <c r="AD54" i="1"/>
  <c r="AM54" i="1"/>
  <c r="T55" i="1"/>
  <c r="U55" i="1"/>
  <c r="V55" i="1"/>
  <c r="X55" i="1"/>
  <c r="Y55" i="1"/>
  <c r="Z55" i="1"/>
  <c r="AA55" i="1"/>
  <c r="AB55" i="1"/>
  <c r="AC55" i="1"/>
  <c r="AD55" i="1"/>
  <c r="AM55" i="1"/>
  <c r="T56" i="1"/>
  <c r="U56" i="1"/>
  <c r="V56" i="1"/>
  <c r="X56" i="1"/>
  <c r="Y56" i="1"/>
  <c r="Z56" i="1"/>
  <c r="AA56" i="1"/>
  <c r="AB56" i="1"/>
  <c r="AC56" i="1"/>
  <c r="AD56" i="1"/>
  <c r="AM56" i="1"/>
  <c r="T57" i="1"/>
  <c r="U57" i="1"/>
  <c r="V57" i="1"/>
  <c r="X57" i="1"/>
  <c r="Y57" i="1"/>
  <c r="Z57" i="1"/>
  <c r="AA57" i="1"/>
  <c r="AB57" i="1"/>
  <c r="AC57" i="1"/>
  <c r="AD57" i="1"/>
  <c r="AM57" i="1"/>
  <c r="T58" i="1"/>
  <c r="U58" i="1"/>
  <c r="V58" i="1"/>
  <c r="X58" i="1"/>
  <c r="Y58" i="1"/>
  <c r="Z58" i="1"/>
  <c r="AA58" i="1"/>
  <c r="AB58" i="1"/>
  <c r="AC58" i="1"/>
  <c r="AD58" i="1"/>
  <c r="AM58" i="1"/>
  <c r="T59" i="1"/>
  <c r="U59" i="1"/>
  <c r="V59" i="1"/>
  <c r="X59" i="1"/>
  <c r="Y59" i="1"/>
  <c r="Z59" i="1"/>
  <c r="AA59" i="1"/>
  <c r="AB59" i="1"/>
  <c r="AC59" i="1"/>
  <c r="AD59" i="1"/>
  <c r="AM59" i="1"/>
  <c r="T60" i="1"/>
  <c r="U60" i="1"/>
  <c r="V60" i="1"/>
  <c r="X60" i="1"/>
  <c r="Y60" i="1"/>
  <c r="Z60" i="1"/>
  <c r="AA60" i="1"/>
  <c r="AB60" i="1"/>
  <c r="AC60" i="1"/>
  <c r="AD60" i="1"/>
  <c r="AM60" i="1"/>
  <c r="T61" i="1"/>
  <c r="U61" i="1"/>
  <c r="V61" i="1"/>
  <c r="X61" i="1"/>
  <c r="Y61" i="1"/>
  <c r="Z61" i="1"/>
  <c r="AA61" i="1"/>
  <c r="AB61" i="1"/>
  <c r="AC61" i="1"/>
  <c r="AD61" i="1"/>
  <c r="AM61" i="1"/>
  <c r="T62" i="1"/>
  <c r="U62" i="1"/>
  <c r="V62" i="1"/>
  <c r="X62" i="1"/>
  <c r="Y62" i="1"/>
  <c r="Z62" i="1"/>
  <c r="AA62" i="1"/>
  <c r="AB62" i="1"/>
  <c r="AC62" i="1"/>
  <c r="AD62" i="1"/>
  <c r="AM62" i="1"/>
  <c r="T63" i="1"/>
  <c r="U63" i="1"/>
  <c r="V63" i="1"/>
  <c r="X63" i="1"/>
  <c r="Y63" i="1"/>
  <c r="Z63" i="1"/>
  <c r="AA63" i="1"/>
  <c r="AB63" i="1"/>
  <c r="AC63" i="1"/>
  <c r="AD63" i="1"/>
  <c r="AM63" i="1"/>
  <c r="T64" i="1"/>
  <c r="U64" i="1"/>
  <c r="V64" i="1"/>
  <c r="X64" i="1"/>
  <c r="Y64" i="1"/>
  <c r="Z64" i="1"/>
  <c r="AA64" i="1"/>
  <c r="AB64" i="1"/>
  <c r="AC64" i="1"/>
  <c r="AD64" i="1"/>
  <c r="AM64" i="1"/>
  <c r="T65" i="1"/>
  <c r="U65" i="1"/>
  <c r="V65" i="1"/>
  <c r="X65" i="1"/>
  <c r="Y65" i="1"/>
  <c r="Z65" i="1"/>
  <c r="AA65" i="1"/>
  <c r="AB65" i="1"/>
  <c r="AC65" i="1"/>
  <c r="AD65" i="1"/>
  <c r="AM65" i="1"/>
  <c r="T66" i="1"/>
  <c r="U66" i="1"/>
  <c r="V66" i="1"/>
  <c r="X66" i="1"/>
  <c r="Y66" i="1"/>
  <c r="Z66" i="1"/>
  <c r="AA66" i="1"/>
  <c r="AB66" i="1"/>
  <c r="AC66" i="1"/>
  <c r="AD66" i="1"/>
  <c r="AM66" i="1"/>
  <c r="T67" i="1"/>
  <c r="U67" i="1"/>
  <c r="V67" i="1"/>
  <c r="X67" i="1"/>
  <c r="Y67" i="1"/>
  <c r="Z67" i="1"/>
  <c r="AA67" i="1"/>
  <c r="AB67" i="1"/>
  <c r="AC67" i="1"/>
  <c r="AD67" i="1"/>
  <c r="AM67" i="1"/>
  <c r="T68" i="1"/>
  <c r="U68" i="1"/>
  <c r="V68" i="1"/>
  <c r="X68" i="1"/>
  <c r="Y68" i="1"/>
  <c r="Z68" i="1"/>
  <c r="AA68" i="1"/>
  <c r="AB68" i="1"/>
  <c r="AC68" i="1"/>
  <c r="AD68" i="1"/>
  <c r="AM68" i="1"/>
  <c r="T69" i="1"/>
  <c r="U69" i="1"/>
  <c r="V69" i="1"/>
  <c r="X69" i="1"/>
  <c r="Y69" i="1"/>
  <c r="Z69" i="1"/>
  <c r="AA69" i="1"/>
  <c r="AB69" i="1"/>
  <c r="AC69" i="1"/>
  <c r="AD69" i="1"/>
  <c r="AM69" i="1"/>
  <c r="T70" i="1"/>
  <c r="U70" i="1"/>
  <c r="V70" i="1"/>
  <c r="X70" i="1"/>
  <c r="Y70" i="1"/>
  <c r="Z70" i="1"/>
  <c r="AA70" i="1"/>
  <c r="AB70" i="1"/>
  <c r="AC70" i="1"/>
  <c r="AD70" i="1"/>
  <c r="AM70" i="1"/>
  <c r="T71" i="1"/>
  <c r="U71" i="1"/>
  <c r="V71" i="1"/>
  <c r="X71" i="1"/>
  <c r="Y71" i="1"/>
  <c r="Z71" i="1"/>
  <c r="AA71" i="1"/>
  <c r="AB71" i="1"/>
  <c r="AC71" i="1"/>
  <c r="AD71" i="1"/>
  <c r="AM71" i="1"/>
  <c r="T72" i="1"/>
  <c r="U72" i="1"/>
  <c r="V72" i="1"/>
  <c r="X72" i="1"/>
  <c r="Y72" i="1"/>
  <c r="Z72" i="1"/>
  <c r="AA72" i="1"/>
  <c r="AB72" i="1"/>
  <c r="AC72" i="1"/>
  <c r="AD72" i="1"/>
  <c r="AM72" i="1"/>
  <c r="T73" i="1"/>
  <c r="U73" i="1"/>
  <c r="V73" i="1"/>
  <c r="X73" i="1"/>
  <c r="Y73" i="1"/>
  <c r="Z73" i="1"/>
  <c r="AA73" i="1"/>
  <c r="AB73" i="1"/>
  <c r="AC73" i="1"/>
  <c r="AD73" i="1"/>
  <c r="AM73" i="1"/>
  <c r="T74" i="1"/>
  <c r="U74" i="1"/>
  <c r="V74" i="1"/>
  <c r="X74" i="1"/>
  <c r="Y74" i="1"/>
  <c r="Z74" i="1"/>
  <c r="AA74" i="1"/>
  <c r="AB74" i="1"/>
  <c r="AC74" i="1"/>
  <c r="AD74" i="1"/>
  <c r="AM74" i="1"/>
  <c r="T75" i="1"/>
  <c r="U75" i="1"/>
  <c r="V75" i="1"/>
  <c r="X75" i="1"/>
  <c r="Y75" i="1"/>
  <c r="Z75" i="1"/>
  <c r="AA75" i="1"/>
  <c r="AB75" i="1"/>
  <c r="AC75" i="1"/>
  <c r="AD75" i="1"/>
  <c r="AM75" i="1"/>
  <c r="T76" i="1"/>
  <c r="U76" i="1"/>
  <c r="V76" i="1"/>
  <c r="X76" i="1"/>
  <c r="Y76" i="1"/>
  <c r="Z76" i="1"/>
  <c r="AA76" i="1"/>
  <c r="AB76" i="1"/>
  <c r="AC76" i="1"/>
  <c r="AD76" i="1"/>
  <c r="AM76" i="1"/>
  <c r="T77" i="1"/>
  <c r="U77" i="1"/>
  <c r="V77" i="1"/>
  <c r="X77" i="1"/>
  <c r="Y77" i="1"/>
  <c r="Z77" i="1"/>
  <c r="AA77" i="1"/>
  <c r="AB77" i="1"/>
  <c r="AC77" i="1"/>
  <c r="AD77" i="1"/>
  <c r="AM77" i="1"/>
  <c r="T78" i="1"/>
  <c r="U78" i="1"/>
  <c r="V78" i="1"/>
  <c r="X78" i="1"/>
  <c r="Y78" i="1"/>
  <c r="Z78" i="1"/>
  <c r="AA78" i="1"/>
  <c r="AB78" i="1"/>
  <c r="AC78" i="1"/>
  <c r="AD78" i="1"/>
  <c r="AM78" i="1"/>
  <c r="T79" i="1"/>
  <c r="U79" i="1"/>
  <c r="V79" i="1"/>
  <c r="X79" i="1"/>
  <c r="Y79" i="1"/>
  <c r="Z79" i="1"/>
  <c r="AA79" i="1"/>
  <c r="AB79" i="1"/>
  <c r="AC79" i="1"/>
  <c r="AD79" i="1"/>
  <c r="AM79" i="1"/>
  <c r="T80" i="1"/>
  <c r="U80" i="1"/>
  <c r="V80" i="1"/>
  <c r="X80" i="1"/>
  <c r="Y80" i="1"/>
  <c r="Z80" i="1"/>
  <c r="AA80" i="1"/>
  <c r="AB80" i="1"/>
  <c r="AC80" i="1"/>
  <c r="AD80" i="1"/>
  <c r="AM80" i="1"/>
  <c r="T81" i="1"/>
  <c r="U81" i="1"/>
  <c r="V81" i="1"/>
  <c r="X81" i="1"/>
  <c r="Y81" i="1"/>
  <c r="Z81" i="1"/>
  <c r="AA81" i="1"/>
  <c r="AB81" i="1"/>
  <c r="AC81" i="1"/>
  <c r="AD81" i="1"/>
  <c r="AM81" i="1"/>
  <c r="T82" i="1"/>
  <c r="U82" i="1"/>
  <c r="V82" i="1"/>
  <c r="X82" i="1"/>
  <c r="Y82" i="1"/>
  <c r="Z82" i="1"/>
  <c r="AA82" i="1"/>
  <c r="AB82" i="1"/>
  <c r="AC82" i="1"/>
  <c r="AD82" i="1"/>
  <c r="AM82" i="1"/>
  <c r="T83" i="1"/>
  <c r="U83" i="1"/>
  <c r="V83" i="1"/>
  <c r="X83" i="1"/>
  <c r="Y83" i="1"/>
  <c r="Z83" i="1"/>
  <c r="AA83" i="1"/>
  <c r="AB83" i="1"/>
  <c r="AC83" i="1"/>
  <c r="AD83" i="1"/>
  <c r="AM83" i="1"/>
  <c r="T84" i="1"/>
  <c r="U84" i="1"/>
  <c r="V84" i="1"/>
  <c r="X84" i="1"/>
  <c r="Y84" i="1"/>
  <c r="Z84" i="1"/>
  <c r="AA84" i="1"/>
  <c r="AB84" i="1"/>
  <c r="AC84" i="1"/>
  <c r="AD84" i="1"/>
  <c r="AM84" i="1"/>
  <c r="T85" i="1"/>
  <c r="U85" i="1"/>
  <c r="V85" i="1"/>
  <c r="X85" i="1"/>
  <c r="Y85" i="1"/>
  <c r="Z85" i="1"/>
  <c r="AA85" i="1"/>
  <c r="AB85" i="1"/>
  <c r="AC85" i="1"/>
  <c r="AD85" i="1"/>
  <c r="AM85" i="1"/>
  <c r="T86" i="1"/>
  <c r="U86" i="1"/>
  <c r="V86" i="1"/>
  <c r="X86" i="1"/>
  <c r="Y86" i="1"/>
  <c r="Z86" i="1"/>
  <c r="AA86" i="1"/>
  <c r="AB86" i="1"/>
  <c r="AC86" i="1"/>
  <c r="AD86" i="1"/>
  <c r="AM86" i="1"/>
  <c r="T87" i="1"/>
  <c r="U87" i="1"/>
  <c r="V87" i="1"/>
  <c r="X87" i="1"/>
  <c r="Y87" i="1"/>
  <c r="Z87" i="1"/>
  <c r="AA87" i="1"/>
  <c r="AB87" i="1"/>
  <c r="AC87" i="1"/>
  <c r="AD87" i="1"/>
  <c r="AM87" i="1"/>
  <c r="T88" i="1"/>
  <c r="U88" i="1"/>
  <c r="V88" i="1"/>
  <c r="X88" i="1"/>
  <c r="Y88" i="1"/>
  <c r="Z88" i="1"/>
  <c r="AA88" i="1"/>
  <c r="AB88" i="1"/>
  <c r="AC88" i="1"/>
  <c r="AD88" i="1"/>
  <c r="AM88" i="1"/>
  <c r="T89" i="1"/>
  <c r="U89" i="1"/>
  <c r="V89" i="1"/>
  <c r="X89" i="1"/>
  <c r="Y89" i="1"/>
  <c r="Z89" i="1"/>
  <c r="AA89" i="1"/>
  <c r="AB89" i="1"/>
  <c r="AC89" i="1"/>
  <c r="AD89" i="1"/>
  <c r="AM89" i="1"/>
  <c r="T90" i="1"/>
  <c r="U90" i="1"/>
  <c r="V90" i="1"/>
  <c r="X90" i="1"/>
  <c r="Y90" i="1"/>
  <c r="Z90" i="1"/>
  <c r="AA90" i="1"/>
  <c r="AB90" i="1"/>
  <c r="AC90" i="1"/>
  <c r="AD90" i="1"/>
  <c r="AM90" i="1"/>
  <c r="T91" i="1"/>
  <c r="U91" i="1"/>
  <c r="V91" i="1"/>
  <c r="X91" i="1"/>
  <c r="Y91" i="1"/>
  <c r="Z91" i="1"/>
  <c r="AA91" i="1"/>
  <c r="AB91" i="1"/>
  <c r="AC91" i="1"/>
  <c r="AD91" i="1"/>
  <c r="AM91" i="1"/>
  <c r="T92" i="1"/>
  <c r="U92" i="1"/>
  <c r="V92" i="1"/>
  <c r="X92" i="1"/>
  <c r="Y92" i="1"/>
  <c r="Z92" i="1"/>
  <c r="AA92" i="1"/>
  <c r="AB92" i="1"/>
  <c r="AC92" i="1"/>
  <c r="AD92" i="1"/>
  <c r="AM92" i="1"/>
  <c r="T93" i="1"/>
  <c r="U93" i="1"/>
  <c r="V93" i="1"/>
  <c r="X93" i="1"/>
  <c r="Y93" i="1"/>
  <c r="Z93" i="1"/>
  <c r="AA93" i="1"/>
  <c r="AB93" i="1"/>
  <c r="AC93" i="1"/>
  <c r="AD93" i="1"/>
  <c r="AM93" i="1"/>
  <c r="I5" i="3"/>
  <c r="I6" i="3"/>
  <c r="I7" i="3"/>
  <c r="I8" i="3"/>
  <c r="I9" i="3"/>
  <c r="C5" i="3"/>
  <c r="D5" i="3"/>
  <c r="E5" i="3"/>
  <c r="M5" i="3"/>
  <c r="C6" i="3"/>
  <c r="D6" i="3"/>
  <c r="E6" i="3"/>
  <c r="M6" i="3"/>
  <c r="C7" i="3"/>
  <c r="D7" i="3"/>
  <c r="E7" i="3"/>
  <c r="M7" i="3"/>
  <c r="C8" i="3"/>
  <c r="D8" i="3"/>
  <c r="E8" i="3"/>
  <c r="M8" i="3"/>
  <c r="C9" i="3"/>
  <c r="D9" i="3"/>
  <c r="E9" i="3"/>
  <c r="M9" i="3"/>
  <c r="AE5" i="1" l="1"/>
  <c r="AF5" i="1" s="1"/>
  <c r="AG5" i="1" s="1"/>
  <c r="AI5" i="1" s="1"/>
  <c r="AJ5" i="1" s="1"/>
  <c r="L92" i="1"/>
  <c r="K92" i="1"/>
  <c r="K89" i="1"/>
  <c r="L89" i="1"/>
  <c r="K28" i="1"/>
  <c r="L28" i="1"/>
  <c r="AK27" i="1"/>
  <c r="K27" i="1"/>
  <c r="L27" i="1"/>
  <c r="AK26" i="1"/>
  <c r="K26" i="1"/>
  <c r="L26" i="1"/>
  <c r="AK25" i="1"/>
  <c r="K25" i="1"/>
  <c r="L25" i="1"/>
  <c r="AK24" i="1"/>
  <c r="K24" i="1"/>
  <c r="L24" i="1"/>
  <c r="AK23" i="1"/>
  <c r="K23" i="1"/>
  <c r="L23" i="1"/>
  <c r="AK22" i="1"/>
  <c r="K22" i="1"/>
  <c r="L22" i="1"/>
  <c r="K21" i="1"/>
  <c r="L21" i="1"/>
  <c r="AK20" i="1"/>
  <c r="K20" i="1"/>
  <c r="L20" i="1"/>
  <c r="AK19" i="1"/>
  <c r="K19" i="1"/>
  <c r="L19" i="1"/>
  <c r="AK18" i="1"/>
  <c r="K18" i="1"/>
  <c r="L18" i="1"/>
  <c r="AK17" i="1"/>
  <c r="K17" i="1"/>
  <c r="L17" i="1"/>
  <c r="AK16" i="1"/>
  <c r="K16" i="1"/>
  <c r="L16" i="1"/>
  <c r="K15" i="1"/>
  <c r="L15" i="1"/>
  <c r="AK14" i="1"/>
  <c r="K14" i="1"/>
  <c r="L14" i="1"/>
  <c r="AK13" i="1"/>
  <c r="K13" i="1"/>
  <c r="L13" i="1"/>
  <c r="AK12" i="1"/>
  <c r="K12" i="1"/>
  <c r="L12" i="1"/>
  <c r="K11" i="1"/>
  <c r="L11" i="1"/>
  <c r="K10" i="1"/>
  <c r="L10" i="1"/>
  <c r="AK9" i="1"/>
  <c r="K9" i="1"/>
  <c r="L9" i="1"/>
  <c r="AK8" i="1"/>
  <c r="K8" i="1"/>
  <c r="L8" i="1"/>
  <c r="AK7" i="1"/>
  <c r="K7" i="1"/>
  <c r="L7" i="1"/>
  <c r="K91" i="1"/>
  <c r="L91" i="1"/>
  <c r="K88" i="1"/>
  <c r="L88" i="1"/>
  <c r="K87" i="1"/>
  <c r="L87" i="1"/>
  <c r="L86" i="1"/>
  <c r="K86" i="1"/>
  <c r="L85" i="1"/>
  <c r="K85" i="1"/>
  <c r="K84" i="1"/>
  <c r="L84" i="1"/>
  <c r="K83" i="1"/>
  <c r="L83" i="1"/>
  <c r="K82" i="1"/>
  <c r="L82" i="1"/>
  <c r="K81" i="1"/>
  <c r="L81" i="1"/>
  <c r="L80" i="1"/>
  <c r="K80" i="1"/>
  <c r="L79" i="1"/>
  <c r="K79" i="1"/>
  <c r="AK78" i="1"/>
  <c r="K78" i="1"/>
  <c r="L78" i="1"/>
  <c r="AK77" i="1"/>
  <c r="K77" i="1"/>
  <c r="L77" i="1"/>
  <c r="AK76" i="1"/>
  <c r="K76" i="1"/>
  <c r="L76" i="1"/>
  <c r="AK75" i="1"/>
  <c r="K75" i="1"/>
  <c r="L75" i="1"/>
  <c r="AK74" i="1"/>
  <c r="K74" i="1"/>
  <c r="L74" i="1"/>
  <c r="L73" i="1"/>
  <c r="K73" i="1"/>
  <c r="AK72" i="1"/>
  <c r="K72" i="1"/>
  <c r="L72" i="1"/>
  <c r="AK71" i="1"/>
  <c r="K71" i="1"/>
  <c r="L71" i="1"/>
  <c r="AK70" i="1"/>
  <c r="K70" i="1"/>
  <c r="L70" i="1"/>
  <c r="AK69" i="1"/>
  <c r="K69" i="1"/>
  <c r="L69" i="1"/>
  <c r="AK68" i="1"/>
  <c r="K68" i="1"/>
  <c r="L68" i="1"/>
  <c r="AK67" i="1"/>
  <c r="K67" i="1"/>
  <c r="L67" i="1"/>
  <c r="AK66" i="1"/>
  <c r="K66" i="1"/>
  <c r="L66" i="1"/>
  <c r="AK65" i="1"/>
  <c r="K65" i="1"/>
  <c r="L65" i="1"/>
  <c r="AK64" i="1"/>
  <c r="K64" i="1"/>
  <c r="L64" i="1"/>
  <c r="K63" i="1"/>
  <c r="L63" i="1"/>
  <c r="AK62" i="1"/>
  <c r="K62" i="1"/>
  <c r="L62" i="1"/>
  <c r="AK61" i="1"/>
  <c r="K61" i="1"/>
  <c r="L61" i="1"/>
  <c r="K60" i="1"/>
  <c r="L60" i="1"/>
  <c r="AK59" i="1"/>
  <c r="K59" i="1"/>
  <c r="L59" i="1"/>
  <c r="AK58" i="1"/>
  <c r="K58" i="1"/>
  <c r="L58" i="1"/>
  <c r="AK57" i="1"/>
  <c r="K57" i="1"/>
  <c r="L57" i="1"/>
  <c r="AK56" i="1"/>
  <c r="K56" i="1"/>
  <c r="L56" i="1"/>
  <c r="AK55" i="1"/>
  <c r="K55" i="1"/>
  <c r="L55" i="1"/>
  <c r="AK54" i="1"/>
  <c r="K54" i="1"/>
  <c r="L54" i="1"/>
  <c r="AK93" i="1"/>
  <c r="L93" i="1"/>
  <c r="K93" i="1"/>
  <c r="K53" i="1"/>
  <c r="L53" i="1"/>
  <c r="K52" i="1"/>
  <c r="L52" i="1"/>
  <c r="AK51" i="1"/>
  <c r="K51" i="1"/>
  <c r="L51" i="1"/>
  <c r="AK50" i="1"/>
  <c r="K50" i="1"/>
  <c r="L50" i="1"/>
  <c r="AK49" i="1"/>
  <c r="K49" i="1"/>
  <c r="L49" i="1"/>
  <c r="AK48" i="1"/>
  <c r="K48" i="1"/>
  <c r="L48" i="1"/>
  <c r="AK47" i="1"/>
  <c r="K47" i="1"/>
  <c r="L47" i="1"/>
  <c r="AK46" i="1"/>
  <c r="K46" i="1"/>
  <c r="L46" i="1"/>
  <c r="AK45" i="1"/>
  <c r="K45" i="1"/>
  <c r="L45" i="1"/>
  <c r="AK44" i="1"/>
  <c r="K44" i="1"/>
  <c r="L44" i="1"/>
  <c r="AK43" i="1"/>
  <c r="K43" i="1"/>
  <c r="L43" i="1"/>
  <c r="AK42" i="1"/>
  <c r="K42" i="1"/>
  <c r="L42" i="1"/>
  <c r="AK41" i="1"/>
  <c r="K41" i="1"/>
  <c r="L41" i="1"/>
  <c r="K40" i="1"/>
  <c r="L40" i="1"/>
  <c r="AK39" i="1"/>
  <c r="K39" i="1"/>
  <c r="L39" i="1"/>
  <c r="AK38" i="1"/>
  <c r="K38" i="1"/>
  <c r="L38" i="1"/>
  <c r="AK37" i="1"/>
  <c r="K37" i="1"/>
  <c r="L37" i="1"/>
  <c r="K90" i="1"/>
  <c r="L90" i="1"/>
  <c r="K36" i="1"/>
  <c r="L36" i="1"/>
  <c r="AK35" i="1"/>
  <c r="K35" i="1"/>
  <c r="L35" i="1"/>
  <c r="AK34" i="1"/>
  <c r="K34" i="1"/>
  <c r="L34" i="1"/>
  <c r="AK33" i="1"/>
  <c r="K33" i="1"/>
  <c r="L33" i="1"/>
  <c r="AK32" i="1"/>
  <c r="K32" i="1"/>
  <c r="L32" i="1"/>
  <c r="AK31" i="1"/>
  <c r="K31" i="1"/>
  <c r="L31" i="1"/>
  <c r="AK30" i="1"/>
  <c r="K30" i="1"/>
  <c r="L30" i="1"/>
  <c r="AK29" i="1"/>
  <c r="K29" i="1"/>
  <c r="L29" i="1"/>
  <c r="AE18" i="1"/>
  <c r="AF18" i="1" s="1"/>
  <c r="AG18" i="1" s="1"/>
  <c r="AI18" i="1" s="1"/>
  <c r="AJ18" i="1" s="1"/>
  <c r="AE15" i="1"/>
  <c r="AF15" i="1" s="1"/>
  <c r="AG15" i="1" s="1"/>
  <c r="AI15" i="1" s="1"/>
  <c r="AJ15" i="1" s="1"/>
  <c r="AE67" i="1"/>
  <c r="AF67" i="1" s="1"/>
  <c r="AG67" i="1" s="1"/>
  <c r="AI67" i="1" s="1"/>
  <c r="AJ67" i="1" s="1"/>
  <c r="AK81" i="1"/>
  <c r="K5" i="1"/>
  <c r="L5" i="1"/>
  <c r="AK6" i="1"/>
  <c r="K6" i="1"/>
  <c r="AK11" i="1"/>
  <c r="AK10" i="1"/>
  <c r="AK82" i="1"/>
  <c r="AK15" i="1"/>
  <c r="AK21" i="1"/>
  <c r="AK40" i="1"/>
  <c r="AK52" i="1"/>
  <c r="AK60" i="1"/>
  <c r="AK63" i="1"/>
  <c r="AK73" i="1"/>
  <c r="AE6" i="1"/>
  <c r="AF6" i="1" s="1"/>
  <c r="AG6" i="1" s="1"/>
  <c r="AI6" i="1" s="1"/>
  <c r="AJ6" i="1" s="1"/>
  <c r="AK86" i="1"/>
  <c r="AE58" i="1"/>
  <c r="AF58" i="1" s="1"/>
  <c r="AG58" i="1" s="1"/>
  <c r="AI58" i="1" s="1"/>
  <c r="AJ58" i="1" s="1"/>
  <c r="AE54" i="1"/>
  <c r="AF54" i="1" s="1"/>
  <c r="AG54" i="1" s="1"/>
  <c r="AI54" i="1" s="1"/>
  <c r="AJ54" i="1" s="1"/>
  <c r="AK90" i="1"/>
  <c r="AE88" i="1"/>
  <c r="AF88" i="1" s="1"/>
  <c r="AG88" i="1" s="1"/>
  <c r="AI88" i="1" s="1"/>
  <c r="AJ88" i="1" s="1"/>
  <c r="AE92" i="1"/>
  <c r="AF92" i="1" s="1"/>
  <c r="AG92" i="1" s="1"/>
  <c r="AI92" i="1" s="1"/>
  <c r="AJ92" i="1" s="1"/>
  <c r="AE46" i="1"/>
  <c r="AF46" i="1" s="1"/>
  <c r="AG46" i="1" s="1"/>
  <c r="AI46" i="1" s="1"/>
  <c r="AJ46" i="1" s="1"/>
  <c r="AE37" i="1"/>
  <c r="AF37" i="1" s="1"/>
  <c r="AG37" i="1" s="1"/>
  <c r="AI37" i="1" s="1"/>
  <c r="AJ37" i="1" s="1"/>
  <c r="AE14" i="1"/>
  <c r="AF14" i="1" s="1"/>
  <c r="AG14" i="1" s="1"/>
  <c r="AI14" i="1" s="1"/>
  <c r="AJ14" i="1" s="1"/>
  <c r="AE10" i="1"/>
  <c r="AF10" i="1" s="1"/>
  <c r="AG10" i="1" s="1"/>
  <c r="AI10" i="1" s="1"/>
  <c r="AJ10" i="1" s="1"/>
  <c r="AE8" i="1"/>
  <c r="AF8" i="1" s="1"/>
  <c r="AG8" i="1" s="1"/>
  <c r="AI8" i="1" s="1"/>
  <c r="AJ8" i="1" s="1"/>
  <c r="AE81" i="1"/>
  <c r="AF81" i="1" s="1"/>
  <c r="AG81" i="1" s="1"/>
  <c r="AI81" i="1" s="1"/>
  <c r="AJ81" i="1" s="1"/>
  <c r="AE80" i="1"/>
  <c r="AF80" i="1" s="1"/>
  <c r="AG80" i="1" s="1"/>
  <c r="AI80" i="1" s="1"/>
  <c r="AJ80" i="1" s="1"/>
  <c r="AE51" i="1"/>
  <c r="AF51" i="1" s="1"/>
  <c r="AG51" i="1" s="1"/>
  <c r="AI51" i="1" s="1"/>
  <c r="AJ51" i="1" s="1"/>
  <c r="AE27" i="1"/>
  <c r="AF27" i="1" s="1"/>
  <c r="AG27" i="1" s="1"/>
  <c r="AI27" i="1" s="1"/>
  <c r="AJ27" i="1" s="1"/>
  <c r="AE24" i="1"/>
  <c r="AF24" i="1" s="1"/>
  <c r="AG24" i="1" s="1"/>
  <c r="AI24" i="1" s="1"/>
  <c r="AJ24" i="1" s="1"/>
  <c r="AE35" i="1"/>
  <c r="AF35" i="1" s="1"/>
  <c r="AG35" i="1" s="1"/>
  <c r="AI35" i="1" s="1"/>
  <c r="AJ35" i="1" s="1"/>
  <c r="AE32" i="1"/>
  <c r="AF32" i="1" s="1"/>
  <c r="AG32" i="1" s="1"/>
  <c r="AI32" i="1" s="1"/>
  <c r="AJ32" i="1" s="1"/>
  <c r="AE31" i="1"/>
  <c r="AF31" i="1" s="1"/>
  <c r="AG31" i="1" s="1"/>
  <c r="AI31" i="1" s="1"/>
  <c r="AJ31" i="1" s="1"/>
  <c r="AE72" i="1"/>
  <c r="AF72" i="1" s="1"/>
  <c r="AG72" i="1" s="1"/>
  <c r="AI72" i="1" s="1"/>
  <c r="AJ72" i="1" s="1"/>
  <c r="AE71" i="1"/>
  <c r="AF71" i="1" s="1"/>
  <c r="AG71" i="1" s="1"/>
  <c r="AI71" i="1" s="1"/>
  <c r="AJ71" i="1" s="1"/>
  <c r="AE65" i="1"/>
  <c r="AF65" i="1" s="1"/>
  <c r="AG65" i="1" s="1"/>
  <c r="AI65" i="1" s="1"/>
  <c r="AJ65" i="1" s="1"/>
  <c r="AE52" i="1"/>
  <c r="AF52" i="1" s="1"/>
  <c r="AG52" i="1" s="1"/>
  <c r="AI52" i="1" s="1"/>
  <c r="AJ52" i="1" s="1"/>
  <c r="AE42" i="1"/>
  <c r="AF42" i="1" s="1"/>
  <c r="AG42" i="1" s="1"/>
  <c r="AI42" i="1" s="1"/>
  <c r="AJ42" i="1" s="1"/>
  <c r="AE36" i="1"/>
  <c r="AF36" i="1" s="1"/>
  <c r="AG36" i="1" s="1"/>
  <c r="AI36" i="1" s="1"/>
  <c r="AJ36" i="1" s="1"/>
  <c r="AE29" i="1"/>
  <c r="AF29" i="1" s="1"/>
  <c r="AG29" i="1" s="1"/>
  <c r="AI29" i="1" s="1"/>
  <c r="AJ29" i="1" s="1"/>
  <c r="AE23" i="1"/>
  <c r="AF23" i="1" s="1"/>
  <c r="AG23" i="1" s="1"/>
  <c r="AI23" i="1" s="1"/>
  <c r="AJ23" i="1" s="1"/>
  <c r="AE22" i="1"/>
  <c r="AF22" i="1" s="1"/>
  <c r="AG22" i="1" s="1"/>
  <c r="AI22" i="1" s="1"/>
  <c r="AJ22" i="1" s="1"/>
  <c r="AE7" i="1"/>
  <c r="AF7" i="1" s="1"/>
  <c r="AG7" i="1" s="1"/>
  <c r="AI7" i="1" s="1"/>
  <c r="AJ7" i="1" s="1"/>
  <c r="AE59" i="1"/>
  <c r="AF59" i="1" s="1"/>
  <c r="AG59" i="1" s="1"/>
  <c r="AI59" i="1" s="1"/>
  <c r="AJ59" i="1" s="1"/>
  <c r="AE40" i="1"/>
  <c r="AF40" i="1" s="1"/>
  <c r="AG40" i="1" s="1"/>
  <c r="AI40" i="1" s="1"/>
  <c r="AJ40" i="1" s="1"/>
  <c r="AE26" i="1"/>
  <c r="AF26" i="1" s="1"/>
  <c r="AG26" i="1" s="1"/>
  <c r="AI26" i="1" s="1"/>
  <c r="AJ26" i="1" s="1"/>
  <c r="AE20" i="1"/>
  <c r="AF20" i="1" s="1"/>
  <c r="AG20" i="1" s="1"/>
  <c r="AI20" i="1" s="1"/>
  <c r="AJ20" i="1" s="1"/>
  <c r="AE19" i="1"/>
  <c r="AF19" i="1" s="1"/>
  <c r="AG19" i="1" s="1"/>
  <c r="AI19" i="1" s="1"/>
  <c r="AJ19" i="1" s="1"/>
  <c r="AE85" i="1"/>
  <c r="AF85" i="1" s="1"/>
  <c r="AG85" i="1" s="1"/>
  <c r="AI85" i="1" s="1"/>
  <c r="AJ85" i="1" s="1"/>
  <c r="AE84" i="1"/>
  <c r="AF84" i="1" s="1"/>
  <c r="AG84" i="1" s="1"/>
  <c r="AI84" i="1" s="1"/>
  <c r="AJ84" i="1" s="1"/>
  <c r="AE69" i="1"/>
  <c r="AF69" i="1" s="1"/>
  <c r="AG69" i="1" s="1"/>
  <c r="AI69" i="1" s="1"/>
  <c r="AJ69" i="1" s="1"/>
  <c r="AE64" i="1"/>
  <c r="AF64" i="1" s="1"/>
  <c r="AG64" i="1" s="1"/>
  <c r="AI64" i="1" s="1"/>
  <c r="AJ64" i="1" s="1"/>
  <c r="AE61" i="1"/>
  <c r="AF61" i="1" s="1"/>
  <c r="AG61" i="1" s="1"/>
  <c r="AI61" i="1" s="1"/>
  <c r="AJ61" i="1" s="1"/>
  <c r="AE12" i="1"/>
  <c r="AF12" i="1" s="1"/>
  <c r="AG12" i="1" s="1"/>
  <c r="AI12" i="1" s="1"/>
  <c r="AJ12" i="1" s="1"/>
  <c r="AE93" i="1"/>
  <c r="AF93" i="1" s="1"/>
  <c r="AG93" i="1" s="1"/>
  <c r="AI93" i="1" s="1"/>
  <c r="AJ93" i="1" s="1"/>
  <c r="AE77" i="1"/>
  <c r="AF77" i="1" s="1"/>
  <c r="AG77" i="1" s="1"/>
  <c r="AI77" i="1" s="1"/>
  <c r="AJ77" i="1" s="1"/>
  <c r="AE76" i="1"/>
  <c r="AF76" i="1" s="1"/>
  <c r="AG76" i="1" s="1"/>
  <c r="AI76" i="1" s="1"/>
  <c r="AJ76" i="1" s="1"/>
  <c r="AE56" i="1"/>
  <c r="AF56" i="1" s="1"/>
  <c r="AG56" i="1" s="1"/>
  <c r="AI56" i="1" s="1"/>
  <c r="AJ56" i="1" s="1"/>
  <c r="AE55" i="1"/>
  <c r="AF55" i="1" s="1"/>
  <c r="AG55" i="1" s="1"/>
  <c r="AI55" i="1" s="1"/>
  <c r="AJ55" i="1" s="1"/>
  <c r="AE47" i="1"/>
  <c r="AF47" i="1" s="1"/>
  <c r="AG47" i="1" s="1"/>
  <c r="AI47" i="1" s="1"/>
  <c r="AJ47" i="1" s="1"/>
  <c r="AE45" i="1"/>
  <c r="AF45" i="1" s="1"/>
  <c r="AG45" i="1" s="1"/>
  <c r="AI45" i="1" s="1"/>
  <c r="AJ45" i="1" s="1"/>
  <c r="AE38" i="1"/>
  <c r="AF38" i="1" s="1"/>
  <c r="AG38" i="1" s="1"/>
  <c r="AI38" i="1" s="1"/>
  <c r="AJ38" i="1" s="1"/>
  <c r="AE89" i="1"/>
  <c r="AF89" i="1" s="1"/>
  <c r="AG89" i="1" s="1"/>
  <c r="AI89" i="1" s="1"/>
  <c r="AJ89" i="1" s="1"/>
  <c r="AE75" i="1"/>
  <c r="AF75" i="1" s="1"/>
  <c r="AG75" i="1" s="1"/>
  <c r="AI75" i="1" s="1"/>
  <c r="AJ75" i="1" s="1"/>
  <c r="AE74" i="1"/>
  <c r="AF74" i="1" s="1"/>
  <c r="AG74" i="1" s="1"/>
  <c r="AI74" i="1" s="1"/>
  <c r="AJ74" i="1" s="1"/>
  <c r="AE44" i="1"/>
  <c r="AF44" i="1" s="1"/>
  <c r="AG44" i="1" s="1"/>
  <c r="AI44" i="1" s="1"/>
  <c r="AJ44" i="1" s="1"/>
  <c r="AE39" i="1"/>
  <c r="AF39" i="1" s="1"/>
  <c r="AG39" i="1" s="1"/>
  <c r="AI39" i="1" s="1"/>
  <c r="AJ39" i="1" s="1"/>
  <c r="AE34" i="1"/>
  <c r="AF34" i="1" s="1"/>
  <c r="AG34" i="1" s="1"/>
  <c r="AI34" i="1" s="1"/>
  <c r="AJ34" i="1" s="1"/>
  <c r="AE33" i="1"/>
  <c r="AF33" i="1" s="1"/>
  <c r="AG33" i="1" s="1"/>
  <c r="AI33" i="1" s="1"/>
  <c r="AJ33" i="1" s="1"/>
  <c r="AE30" i="1"/>
  <c r="AF30" i="1" s="1"/>
  <c r="AG30" i="1" s="1"/>
  <c r="AI30" i="1" s="1"/>
  <c r="AJ30" i="1" s="1"/>
  <c r="AE17" i="1"/>
  <c r="AF17" i="1" s="1"/>
  <c r="AG17" i="1" s="1"/>
  <c r="AI17" i="1" s="1"/>
  <c r="AJ17" i="1" s="1"/>
  <c r="AE11" i="1"/>
  <c r="AF11" i="1" s="1"/>
  <c r="AG11" i="1" s="1"/>
  <c r="AI11" i="1" s="1"/>
  <c r="AJ11" i="1" s="1"/>
  <c r="AK89" i="1"/>
  <c r="AE73" i="1"/>
  <c r="AF73" i="1" s="1"/>
  <c r="AG73" i="1" s="1"/>
  <c r="AI73" i="1" s="1"/>
  <c r="AJ73" i="1" s="1"/>
  <c r="AE63" i="1"/>
  <c r="AF63" i="1" s="1"/>
  <c r="AG63" i="1" s="1"/>
  <c r="AI63" i="1" s="1"/>
  <c r="AJ63" i="1" s="1"/>
  <c r="AE13" i="1"/>
  <c r="AF13" i="1" s="1"/>
  <c r="AG13" i="1" s="1"/>
  <c r="AI13" i="1" s="1"/>
  <c r="AJ13" i="1" s="1"/>
  <c r="AK85" i="1"/>
  <c r="AE68" i="1"/>
  <c r="AF68" i="1" s="1"/>
  <c r="AG68" i="1" s="1"/>
  <c r="AI68" i="1" s="1"/>
  <c r="AJ68" i="1" s="1"/>
  <c r="AE62" i="1"/>
  <c r="AF62" i="1" s="1"/>
  <c r="AG62" i="1" s="1"/>
  <c r="AI62" i="1" s="1"/>
  <c r="AJ62" i="1" s="1"/>
  <c r="AE50" i="1"/>
  <c r="AF50" i="1" s="1"/>
  <c r="AG50" i="1" s="1"/>
  <c r="AI50" i="1" s="1"/>
  <c r="AJ50" i="1" s="1"/>
  <c r="AE49" i="1"/>
  <c r="AF49" i="1" s="1"/>
  <c r="AG49" i="1" s="1"/>
  <c r="AI49" i="1" s="1"/>
  <c r="AJ49" i="1" s="1"/>
  <c r="AE43" i="1"/>
  <c r="AF43" i="1" s="1"/>
  <c r="AG43" i="1" s="1"/>
  <c r="AI43" i="1" s="1"/>
  <c r="AJ43" i="1" s="1"/>
  <c r="AE87" i="1"/>
  <c r="AF87" i="1" s="1"/>
  <c r="AG87" i="1" s="1"/>
  <c r="AI87" i="1" s="1"/>
  <c r="AJ87" i="1" s="1"/>
  <c r="AE83" i="1"/>
  <c r="AF83" i="1" s="1"/>
  <c r="AG83" i="1" s="1"/>
  <c r="AI83" i="1" s="1"/>
  <c r="AJ83" i="1" s="1"/>
  <c r="AE79" i="1"/>
  <c r="AF79" i="1" s="1"/>
  <c r="AG79" i="1" s="1"/>
  <c r="AI79" i="1" s="1"/>
  <c r="AJ79" i="1" s="1"/>
  <c r="AE70" i="1"/>
  <c r="AF70" i="1" s="1"/>
  <c r="AG70" i="1" s="1"/>
  <c r="AI70" i="1" s="1"/>
  <c r="AJ70" i="1" s="1"/>
  <c r="AE91" i="1"/>
  <c r="AF91" i="1" s="1"/>
  <c r="AG91" i="1" s="1"/>
  <c r="AI91" i="1" s="1"/>
  <c r="AJ91" i="1" s="1"/>
  <c r="AK91" i="1"/>
  <c r="AK87" i="1"/>
  <c r="AK83" i="1"/>
  <c r="AK79" i="1"/>
  <c r="AE48" i="1"/>
  <c r="AF48" i="1" s="1"/>
  <c r="AG48" i="1" s="1"/>
  <c r="AI48" i="1" s="1"/>
  <c r="AJ48" i="1" s="1"/>
  <c r="AE41" i="1"/>
  <c r="AF41" i="1" s="1"/>
  <c r="AG41" i="1" s="1"/>
  <c r="AI41" i="1" s="1"/>
  <c r="AJ41" i="1" s="1"/>
  <c r="AE25" i="1"/>
  <c r="AF25" i="1" s="1"/>
  <c r="AG25" i="1" s="1"/>
  <c r="AI25" i="1" s="1"/>
  <c r="AJ25" i="1" s="1"/>
  <c r="AE16" i="1"/>
  <c r="AF16" i="1" s="1"/>
  <c r="AG16" i="1" s="1"/>
  <c r="AI16" i="1" s="1"/>
  <c r="AJ16" i="1" s="1"/>
  <c r="AE9" i="1"/>
  <c r="AF9" i="1" s="1"/>
  <c r="AG9" i="1" s="1"/>
  <c r="AI9" i="1" s="1"/>
  <c r="AJ9" i="1" s="1"/>
  <c r="AE90" i="1"/>
  <c r="AF90" i="1" s="1"/>
  <c r="AG90" i="1" s="1"/>
  <c r="AI90" i="1" s="1"/>
  <c r="AJ90" i="1" s="1"/>
  <c r="AE86" i="1"/>
  <c r="AF86" i="1" s="1"/>
  <c r="AG86" i="1" s="1"/>
  <c r="AI86" i="1" s="1"/>
  <c r="AJ86" i="1" s="1"/>
  <c r="AE82" i="1"/>
  <c r="AF82" i="1" s="1"/>
  <c r="AG82" i="1" s="1"/>
  <c r="AI82" i="1" s="1"/>
  <c r="AJ82" i="1" s="1"/>
  <c r="AE78" i="1"/>
  <c r="AF78" i="1" s="1"/>
  <c r="AG78" i="1" s="1"/>
  <c r="AI78" i="1" s="1"/>
  <c r="AJ78" i="1" s="1"/>
  <c r="AE66" i="1"/>
  <c r="AF66" i="1" s="1"/>
  <c r="AG66" i="1" s="1"/>
  <c r="AI66" i="1" s="1"/>
  <c r="AJ66" i="1" s="1"/>
  <c r="AE57" i="1"/>
  <c r="AF57" i="1" s="1"/>
  <c r="AG57" i="1" s="1"/>
  <c r="AI57" i="1" s="1"/>
  <c r="AJ57" i="1" s="1"/>
  <c r="AE53" i="1"/>
  <c r="AF53" i="1" s="1"/>
  <c r="AG53" i="1" s="1"/>
  <c r="AI53" i="1" s="1"/>
  <c r="AJ53" i="1" s="1"/>
  <c r="AE28" i="1"/>
  <c r="AF28" i="1" s="1"/>
  <c r="AG28" i="1" s="1"/>
  <c r="AI28" i="1" s="1"/>
  <c r="AJ28" i="1" s="1"/>
  <c r="AE21" i="1"/>
  <c r="AF21" i="1" s="1"/>
  <c r="AG21" i="1" s="1"/>
  <c r="AI21" i="1" s="1"/>
  <c r="AJ21" i="1" s="1"/>
  <c r="AK92" i="1"/>
  <c r="AK88" i="1"/>
  <c r="AK84" i="1"/>
  <c r="AK80" i="1"/>
  <c r="AE60" i="1"/>
  <c r="AF60" i="1" s="1"/>
  <c r="AG60" i="1" s="1"/>
  <c r="AI60" i="1" s="1"/>
  <c r="AJ60" i="1" s="1"/>
  <c r="T98" i="1"/>
  <c r="U98" i="1"/>
  <c r="V98" i="1"/>
  <c r="X98" i="1"/>
  <c r="Y98" i="1"/>
  <c r="Z98" i="1"/>
  <c r="AA98" i="1"/>
  <c r="AB98" i="1"/>
  <c r="AC98" i="1"/>
  <c r="AD98" i="1"/>
  <c r="AM98" i="1"/>
  <c r="K98" i="1" l="1"/>
  <c r="L98" i="1"/>
  <c r="AE98" i="1"/>
  <c r="AF98" i="1" s="1"/>
  <c r="AG98" i="1" s="1"/>
  <c r="AI98" i="1" s="1"/>
  <c r="AJ98" i="1" s="1"/>
  <c r="AK98" i="1"/>
  <c r="T97" i="1" l="1"/>
  <c r="U97" i="1"/>
  <c r="V97" i="1"/>
  <c r="X97" i="1"/>
  <c r="Y97" i="1"/>
  <c r="Z97" i="1"/>
  <c r="AA97" i="1"/>
  <c r="AB97" i="1"/>
  <c r="AC97" i="1"/>
  <c r="AD97" i="1"/>
  <c r="AM97" i="1"/>
  <c r="L97" i="1" l="1"/>
  <c r="K97" i="1"/>
  <c r="AE97" i="1"/>
  <c r="AF97" i="1" s="1"/>
  <c r="AG97" i="1" s="1"/>
  <c r="AI97" i="1" s="1"/>
  <c r="AJ97" i="1" s="1"/>
  <c r="AK97" i="1"/>
  <c r="L6" i="6" l="1"/>
  <c r="L7" i="6"/>
  <c r="L6" i="5"/>
  <c r="L7" i="5"/>
  <c r="L8" i="5"/>
  <c r="L9" i="5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AM94" i="1"/>
  <c r="AM95" i="1"/>
  <c r="AM96" i="1"/>
  <c r="T94" i="1"/>
  <c r="T95" i="1"/>
  <c r="T96" i="1"/>
  <c r="U94" i="1"/>
  <c r="U95" i="1"/>
  <c r="U96" i="1"/>
  <c r="V94" i="1"/>
  <c r="V95" i="1"/>
  <c r="V96" i="1"/>
  <c r="X94" i="1"/>
  <c r="X95" i="1"/>
  <c r="X96" i="1"/>
  <c r="Y94" i="1"/>
  <c r="Y95" i="1"/>
  <c r="Y96" i="1"/>
  <c r="Z94" i="1"/>
  <c r="Z95" i="1"/>
  <c r="Z96" i="1"/>
  <c r="AA94" i="1"/>
  <c r="AA95" i="1"/>
  <c r="AA96" i="1"/>
  <c r="AB94" i="1"/>
  <c r="AB95" i="1"/>
  <c r="AB96" i="1"/>
  <c r="AC94" i="1"/>
  <c r="AC95" i="1"/>
  <c r="AC96" i="1"/>
  <c r="AD94" i="1"/>
  <c r="AD95" i="1"/>
  <c r="AD96" i="1"/>
  <c r="D4" i="13"/>
  <c r="E4" i="31"/>
  <c r="E3" i="12"/>
  <c r="K94" i="1" l="1"/>
  <c r="L94" i="1"/>
  <c r="K96" i="1"/>
  <c r="L96" i="1"/>
  <c r="K95" i="1"/>
  <c r="L95" i="1"/>
  <c r="AE94" i="1"/>
  <c r="AF94" i="1" s="1"/>
  <c r="AG94" i="1" s="1"/>
  <c r="AI94" i="1" s="1"/>
  <c r="AJ94" i="1" s="1"/>
  <c r="AE96" i="1"/>
  <c r="AF96" i="1" s="1"/>
  <c r="AG96" i="1" s="1"/>
  <c r="AI96" i="1" s="1"/>
  <c r="AJ96" i="1" s="1"/>
  <c r="AE95" i="1"/>
  <c r="AF95" i="1" s="1"/>
  <c r="AG95" i="1" s="1"/>
  <c r="AI95" i="1" s="1"/>
  <c r="AJ95" i="1" s="1"/>
  <c r="AK96" i="1"/>
  <c r="AK94" i="1"/>
  <c r="AK95" i="1"/>
  <c r="H6" i="7" l="1"/>
  <c r="B45" i="30" l="1"/>
  <c r="D30" i="30"/>
  <c r="J14" i="30"/>
  <c r="D14" i="30"/>
  <c r="G12" i="30"/>
  <c r="C12" i="30"/>
  <c r="L10" i="30"/>
  <c r="G10" i="30"/>
  <c r="C10" i="30"/>
  <c r="L8" i="30"/>
  <c r="C8" i="30"/>
  <c r="G6" i="30"/>
  <c r="C6" i="30"/>
  <c r="B5" i="10" l="1"/>
  <c r="C5" i="10" s="1"/>
  <c r="L5" i="6"/>
  <c r="L5" i="5"/>
  <c r="E7" i="14"/>
  <c r="D4" i="15"/>
  <c r="E6" i="14"/>
  <c r="E10" i="14"/>
  <c r="E8" i="14"/>
  <c r="D4" i="27"/>
  <c r="E5" i="14"/>
  <c r="D4" i="25"/>
  <c r="D9" i="17"/>
  <c r="E4" i="26"/>
  <c r="E5" i="26"/>
  <c r="E6" i="26" l="1"/>
  <c r="E7" i="26" s="1"/>
  <c r="E9" i="14"/>
  <c r="O6" i="4"/>
  <c r="T6" i="4"/>
  <c r="U6" i="4"/>
  <c r="V6" i="4"/>
  <c r="V5" i="4"/>
  <c r="U5" i="4"/>
  <c r="T5" i="4"/>
  <c r="O5" i="4"/>
  <c r="K5" i="4"/>
  <c r="K6" i="4"/>
  <c r="N5" i="4"/>
  <c r="N6" i="4"/>
  <c r="M5" i="4"/>
  <c r="M6" i="4"/>
  <c r="J5" i="4"/>
  <c r="J6" i="4"/>
  <c r="S6" i="4" s="1"/>
  <c r="W6" i="4" s="1"/>
  <c r="E31" i="8"/>
  <c r="D31" i="8"/>
  <c r="C31" i="8"/>
  <c r="E30" i="8"/>
  <c r="D30" i="8"/>
  <c r="C30" i="8"/>
  <c r="E29" i="8"/>
  <c r="D29" i="8"/>
  <c r="C29" i="8"/>
  <c r="E28" i="8"/>
  <c r="D28" i="8"/>
  <c r="C28" i="8"/>
  <c r="E27" i="8"/>
  <c r="D27" i="8"/>
  <c r="C27" i="8"/>
  <c r="E26" i="8"/>
  <c r="D26" i="8"/>
  <c r="C26" i="8"/>
  <c r="E25" i="8"/>
  <c r="D25" i="8"/>
  <c r="C25" i="8"/>
  <c r="E24" i="8"/>
  <c r="D24" i="8"/>
  <c r="C24" i="8"/>
  <c r="E23" i="8"/>
  <c r="D23" i="8"/>
  <c r="C23" i="8"/>
  <c r="E22" i="8"/>
  <c r="D22" i="8"/>
  <c r="C22" i="8"/>
  <c r="E21" i="8"/>
  <c r="D21" i="8"/>
  <c r="C21" i="8"/>
  <c r="E20" i="8"/>
  <c r="D20" i="8"/>
  <c r="C20" i="8"/>
  <c r="E19" i="8"/>
  <c r="D19" i="8"/>
  <c r="C19" i="8"/>
  <c r="E18" i="8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E5" i="8"/>
  <c r="D5" i="8"/>
  <c r="C5" i="8"/>
  <c r="E4" i="8"/>
  <c r="D4" i="8"/>
  <c r="C4" i="8"/>
  <c r="E3" i="8"/>
  <c r="D3" i="8"/>
  <c r="C3" i="8"/>
  <c r="E2" i="8"/>
  <c r="D2" i="8"/>
  <c r="C2" i="8"/>
  <c r="X6" i="4" l="1"/>
  <c r="Y6" i="4" s="1"/>
  <c r="P6" i="4"/>
  <c r="R6" i="4"/>
  <c r="P5" i="4"/>
  <c r="R5" i="4"/>
  <c r="Q6" i="4"/>
  <c r="Q5" i="4"/>
  <c r="S5" i="4"/>
  <c r="W5" i="4" s="1"/>
  <c r="X5" i="4"/>
  <c r="Y5" i="4" l="1"/>
  <c r="L20" i="30" l="1"/>
  <c r="L22" i="30"/>
  <c r="D20" i="30"/>
  <c r="D22" i="30"/>
  <c r="D26" i="30"/>
  <c r="K26" i="30"/>
  <c r="D36" i="30"/>
  <c r="D38" i="30"/>
  <c r="L36" i="30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C3" i="7"/>
  <c r="B3" i="7"/>
  <c r="C2" i="7"/>
  <c r="B2" i="7"/>
  <c r="L5" i="3" l="1"/>
  <c r="L6" i="3"/>
  <c r="L8" i="3"/>
  <c r="J9" i="2"/>
  <c r="J15" i="2"/>
  <c r="J21" i="2"/>
  <c r="L9" i="3"/>
  <c r="J10" i="2"/>
  <c r="J16" i="2"/>
  <c r="J22" i="2"/>
  <c r="J5" i="2"/>
  <c r="J11" i="2"/>
  <c r="J17" i="2"/>
  <c r="J23" i="2"/>
  <c r="J6" i="2"/>
  <c r="J12" i="2"/>
  <c r="J18" i="2"/>
  <c r="J24" i="2"/>
  <c r="J7" i="2"/>
  <c r="J13" i="2"/>
  <c r="J19" i="2"/>
  <c r="L7" i="3"/>
  <c r="J8" i="2"/>
  <c r="J14" i="2"/>
  <c r="J20" i="2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2" i="1"/>
  <c r="AL75" i="1"/>
  <c r="AL77" i="1"/>
  <c r="AL80" i="1"/>
  <c r="AL83" i="1"/>
  <c r="AL84" i="1"/>
  <c r="AL87" i="1"/>
  <c r="AL88" i="1"/>
  <c r="AL90" i="1"/>
  <c r="AL91" i="1"/>
  <c r="AL92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70" i="1"/>
  <c r="AL71" i="1"/>
  <c r="AL73" i="1"/>
  <c r="AL74" i="1"/>
  <c r="AL76" i="1"/>
  <c r="AL78" i="1"/>
  <c r="AL79" i="1"/>
  <c r="AL81" i="1"/>
  <c r="AL82" i="1"/>
  <c r="AL85" i="1"/>
  <c r="AL86" i="1"/>
  <c r="AL89" i="1"/>
  <c r="AL93" i="1"/>
  <c r="AH93" i="1"/>
  <c r="AH87" i="1"/>
  <c r="AH81" i="1"/>
  <c r="AH75" i="1"/>
  <c r="AH69" i="1"/>
  <c r="AH63" i="1"/>
  <c r="AH57" i="1"/>
  <c r="AH50" i="1"/>
  <c r="AH44" i="1"/>
  <c r="AH38" i="1"/>
  <c r="AH32" i="1"/>
  <c r="AH21" i="1"/>
  <c r="AH15" i="1"/>
  <c r="AH9" i="1"/>
  <c r="AH27" i="1"/>
  <c r="AH92" i="1"/>
  <c r="AH86" i="1"/>
  <c r="AH80" i="1"/>
  <c r="AH74" i="1"/>
  <c r="AH68" i="1"/>
  <c r="AH62" i="1"/>
  <c r="AH56" i="1"/>
  <c r="AH49" i="1"/>
  <c r="AH43" i="1"/>
  <c r="AH37" i="1"/>
  <c r="AH31" i="1"/>
  <c r="AH20" i="1"/>
  <c r="AH14" i="1"/>
  <c r="AH8" i="1"/>
  <c r="AH26" i="1"/>
  <c r="AH91" i="1"/>
  <c r="AH85" i="1"/>
  <c r="AH79" i="1"/>
  <c r="AH73" i="1"/>
  <c r="AH67" i="1"/>
  <c r="AH61" i="1"/>
  <c r="AH55" i="1"/>
  <c r="AH48" i="1"/>
  <c r="AH42" i="1"/>
  <c r="AH36" i="1"/>
  <c r="AH30" i="1"/>
  <c r="AH19" i="1"/>
  <c r="AH13" i="1"/>
  <c r="AH7" i="1"/>
  <c r="AH25" i="1"/>
  <c r="AH90" i="1"/>
  <c r="AH84" i="1"/>
  <c r="AH78" i="1"/>
  <c r="AH72" i="1"/>
  <c r="AH66" i="1"/>
  <c r="AH60" i="1"/>
  <c r="AH54" i="1"/>
  <c r="AH47" i="1"/>
  <c r="AH41" i="1"/>
  <c r="AH35" i="1"/>
  <c r="AH29" i="1"/>
  <c r="AH18" i="1"/>
  <c r="AH12" i="1"/>
  <c r="AH6" i="1"/>
  <c r="AH24" i="1"/>
  <c r="AH89" i="1"/>
  <c r="AH83" i="1"/>
  <c r="AH77" i="1"/>
  <c r="AH71" i="1"/>
  <c r="AH65" i="1"/>
  <c r="AH59" i="1"/>
  <c r="AH52" i="1"/>
  <c r="AH46" i="1"/>
  <c r="AH40" i="1"/>
  <c r="AH34" i="1"/>
  <c r="AH17" i="1"/>
  <c r="AH11" i="1"/>
  <c r="AH5" i="1"/>
  <c r="AH23" i="1"/>
  <c r="AH88" i="1"/>
  <c r="AH82" i="1"/>
  <c r="AH76" i="1"/>
  <c r="AH70" i="1"/>
  <c r="AH64" i="1"/>
  <c r="AH58" i="1"/>
  <c r="AH51" i="1"/>
  <c r="AH45" i="1"/>
  <c r="AH39" i="1"/>
  <c r="AH33" i="1"/>
  <c r="AH53" i="1"/>
  <c r="AH16" i="1"/>
  <c r="AH10" i="1"/>
  <c r="AH28" i="1"/>
  <c r="AH22" i="1"/>
  <c r="AL98" i="1"/>
  <c r="AH98" i="1"/>
  <c r="AL97" i="1"/>
  <c r="AH97" i="1"/>
  <c r="G27" i="10"/>
  <c r="E27" i="10"/>
  <c r="C27" i="10"/>
  <c r="G29" i="10"/>
  <c r="E29" i="10"/>
  <c r="C29" i="10"/>
  <c r="G30" i="10"/>
  <c r="E30" i="10"/>
  <c r="C30" i="10"/>
  <c r="G31" i="10"/>
  <c r="E31" i="10"/>
  <c r="C31" i="10"/>
  <c r="G32" i="10"/>
  <c r="E32" i="10"/>
  <c r="C32" i="10"/>
  <c r="G33" i="10"/>
  <c r="E33" i="10"/>
  <c r="C33" i="10"/>
  <c r="G34" i="10"/>
  <c r="E34" i="10"/>
  <c r="C34" i="10"/>
  <c r="G35" i="10"/>
  <c r="E35" i="10"/>
  <c r="C35" i="10"/>
  <c r="G36" i="10"/>
  <c r="E36" i="10"/>
  <c r="C36" i="10"/>
  <c r="G37" i="10"/>
  <c r="E37" i="10"/>
  <c r="C37" i="10"/>
  <c r="G38" i="10"/>
  <c r="E38" i="10"/>
  <c r="C38" i="10"/>
  <c r="G28" i="10"/>
  <c r="E28" i="10"/>
  <c r="C28" i="10"/>
  <c r="K6" i="6"/>
  <c r="K6" i="5"/>
  <c r="K8" i="5"/>
  <c r="K7" i="6"/>
  <c r="K7" i="5"/>
  <c r="K9" i="5"/>
  <c r="AL94" i="1"/>
  <c r="AL96" i="1"/>
  <c r="AH94" i="1"/>
  <c r="AH96" i="1"/>
  <c r="AL95" i="1"/>
  <c r="AH95" i="1"/>
  <c r="L6" i="28"/>
  <c r="L8" i="28"/>
  <c r="L10" i="28"/>
  <c r="L5" i="28"/>
  <c r="L7" i="28"/>
  <c r="L9" i="28"/>
  <c r="K9" i="10"/>
  <c r="K5" i="5"/>
  <c r="M9" i="10"/>
  <c r="I9" i="10"/>
  <c r="G9" i="10"/>
  <c r="E9" i="10"/>
  <c r="C9" i="10"/>
  <c r="K5" i="6"/>
  <c r="Z6" i="4"/>
  <c r="Z5" i="4"/>
  <c r="M10" i="10"/>
  <c r="K10" i="10"/>
  <c r="I10" i="10"/>
  <c r="G10" i="10"/>
  <c r="E10" i="10"/>
  <c r="C10" i="10"/>
  <c r="K11" i="10"/>
  <c r="M11" i="10"/>
  <c r="I11" i="10"/>
  <c r="G11" i="10"/>
  <c r="E11" i="10"/>
  <c r="C11" i="10"/>
  <c r="M12" i="10"/>
  <c r="K12" i="10"/>
  <c r="I12" i="10"/>
  <c r="G12" i="10"/>
  <c r="E12" i="10"/>
  <c r="C12" i="10"/>
  <c r="K13" i="10"/>
  <c r="M13" i="10"/>
  <c r="I13" i="10"/>
  <c r="G13" i="10"/>
  <c r="E13" i="10"/>
  <c r="C13" i="10"/>
  <c r="M14" i="10"/>
  <c r="K14" i="10"/>
  <c r="I14" i="10"/>
  <c r="G14" i="10"/>
  <c r="E14" i="10"/>
  <c r="C14" i="10"/>
  <c r="K15" i="10"/>
  <c r="M15" i="10"/>
  <c r="I15" i="10"/>
  <c r="G15" i="10"/>
  <c r="E15" i="10"/>
  <c r="C15" i="10"/>
  <c r="M16" i="10"/>
  <c r="K16" i="10"/>
  <c r="I16" i="10"/>
  <c r="G16" i="10"/>
  <c r="E16" i="10"/>
  <c r="C16" i="10"/>
  <c r="K17" i="10"/>
  <c r="M17" i="10"/>
  <c r="I17" i="10"/>
  <c r="G17" i="10"/>
  <c r="E17" i="10"/>
  <c r="C17" i="10"/>
  <c r="M18" i="10"/>
  <c r="K18" i="10"/>
  <c r="I18" i="10"/>
  <c r="G18" i="10"/>
  <c r="E18" i="10"/>
  <c r="C18" i="10"/>
  <c r="K19" i="10"/>
  <c r="M19" i="10"/>
  <c r="I19" i="10"/>
  <c r="G19" i="10"/>
  <c r="E19" i="10"/>
  <c r="C19" i="10"/>
  <c r="M20" i="10"/>
  <c r="K20" i="10"/>
  <c r="I20" i="10"/>
  <c r="G20" i="10"/>
  <c r="E20" i="10"/>
  <c r="C20" i="10"/>
  <c r="L30" i="30"/>
  <c r="L43" i="30" s="1"/>
  <c r="I38" i="10" l="1"/>
  <c r="I36" i="10"/>
  <c r="I34" i="10"/>
  <c r="I32" i="10"/>
  <c r="I30" i="10"/>
  <c r="C21" i="10"/>
  <c r="I28" i="10"/>
  <c r="I37" i="10"/>
  <c r="I35" i="10"/>
  <c r="I33" i="10"/>
  <c r="I31" i="10"/>
  <c r="I29" i="10"/>
  <c r="E39" i="10"/>
  <c r="E41" i="10" s="1"/>
  <c r="I27" i="10"/>
  <c r="C39" i="10"/>
  <c r="C41" i="10" s="1"/>
  <c r="G39" i="10"/>
  <c r="G41" i="10" s="1"/>
  <c r="O19" i="10"/>
  <c r="D19" i="10" s="1"/>
  <c r="O17" i="10"/>
  <c r="D17" i="10" s="1"/>
  <c r="E21" i="10"/>
  <c r="I21" i="10"/>
  <c r="I23" i="10" s="1"/>
  <c r="O20" i="10"/>
  <c r="H20" i="10" s="1"/>
  <c r="O18" i="10"/>
  <c r="H18" i="10" s="1"/>
  <c r="O16" i="10"/>
  <c r="J16" i="10" s="1"/>
  <c r="O15" i="10"/>
  <c r="F15" i="10" s="1"/>
  <c r="O14" i="10"/>
  <c r="J14" i="10" s="1"/>
  <c r="O13" i="10"/>
  <c r="F13" i="10" s="1"/>
  <c r="O12" i="10"/>
  <c r="J12" i="10" s="1"/>
  <c r="O11" i="10"/>
  <c r="F11" i="10" s="1"/>
  <c r="O10" i="10"/>
  <c r="J10" i="10" s="1"/>
  <c r="O9" i="10"/>
  <c r="D9" i="10" s="1"/>
  <c r="G21" i="10"/>
  <c r="M21" i="10"/>
  <c r="K21" i="10"/>
  <c r="I39" i="10" l="1"/>
  <c r="I41" i="10"/>
  <c r="N17" i="10"/>
  <c r="H17" i="10"/>
  <c r="L20" i="10"/>
  <c r="J17" i="10"/>
  <c r="H10" i="10"/>
  <c r="H15" i="10"/>
  <c r="H16" i="10"/>
  <c r="H19" i="10"/>
  <c r="H12" i="10"/>
  <c r="H14" i="10"/>
  <c r="L9" i="10"/>
  <c r="N9" i="10"/>
  <c r="H9" i="10"/>
  <c r="H11" i="10"/>
  <c r="L12" i="10"/>
  <c r="D12" i="10"/>
  <c r="N13" i="10"/>
  <c r="D13" i="10"/>
  <c r="L14" i="10"/>
  <c r="D14" i="10"/>
  <c r="N15" i="10"/>
  <c r="D15" i="10"/>
  <c r="L16" i="10"/>
  <c r="D16" i="10"/>
  <c r="L18" i="10"/>
  <c r="J19" i="10"/>
  <c r="N19" i="10"/>
  <c r="N11" i="10"/>
  <c r="H13" i="10"/>
  <c r="M23" i="10"/>
  <c r="G23" i="10"/>
  <c r="F9" i="10"/>
  <c r="O21" i="10"/>
  <c r="C22" i="10" s="1"/>
  <c r="L10" i="10"/>
  <c r="D10" i="10"/>
  <c r="D11" i="10"/>
  <c r="N10" i="10"/>
  <c r="F10" i="10"/>
  <c r="J11" i="10"/>
  <c r="N12" i="10"/>
  <c r="F12" i="10"/>
  <c r="J13" i="10"/>
  <c r="N14" i="10"/>
  <c r="F14" i="10"/>
  <c r="J15" i="10"/>
  <c r="N16" i="10"/>
  <c r="F16" i="10"/>
  <c r="N18" i="10"/>
  <c r="F18" i="10"/>
  <c r="N20" i="10"/>
  <c r="F20" i="10"/>
  <c r="K23" i="10"/>
  <c r="C23" i="10"/>
  <c r="D18" i="10"/>
  <c r="D20" i="10"/>
  <c r="J9" i="10"/>
  <c r="E23" i="10"/>
  <c r="L11" i="10"/>
  <c r="L13" i="10"/>
  <c r="L15" i="10"/>
  <c r="L17" i="10"/>
  <c r="F17" i="10"/>
  <c r="J18" i="10"/>
  <c r="L19" i="10"/>
  <c r="F19" i="10"/>
  <c r="J20" i="10"/>
  <c r="K22" i="10" l="1"/>
  <c r="E22" i="10"/>
  <c r="D27" i="10"/>
  <c r="F27" i="10"/>
  <c r="H27" i="10"/>
  <c r="P13" i="10"/>
  <c r="P12" i="10"/>
  <c r="P11" i="10"/>
  <c r="P9" i="10"/>
  <c r="P16" i="10"/>
  <c r="P17" i="10"/>
  <c r="P15" i="10"/>
  <c r="P18" i="10"/>
  <c r="P14" i="10"/>
  <c r="P19" i="10"/>
  <c r="P20" i="10"/>
  <c r="P10" i="10"/>
  <c r="I22" i="10"/>
  <c r="O23" i="10"/>
  <c r="G22" i="10"/>
  <c r="M22" i="10"/>
  <c r="J27" i="10" l="1"/>
  <c r="F28" i="10"/>
  <c r="D28" i="10"/>
  <c r="H28" i="10"/>
  <c r="O22" i="10"/>
  <c r="H29" i="10" l="1"/>
  <c r="F29" i="10"/>
  <c r="D29" i="10"/>
  <c r="J28" i="10"/>
  <c r="J29" i="10" l="1"/>
  <c r="H30" i="10"/>
  <c r="D30" i="10"/>
  <c r="F30" i="10"/>
  <c r="D31" i="10"/>
  <c r="F31" i="10"/>
  <c r="H31" i="10"/>
  <c r="J31" i="10" l="1"/>
  <c r="J30" i="10"/>
  <c r="D35" i="10"/>
  <c r="F35" i="10"/>
  <c r="H35" i="10"/>
  <c r="H34" i="10"/>
  <c r="D34" i="10"/>
  <c r="F34" i="10"/>
  <c r="F32" i="10"/>
  <c r="H32" i="10"/>
  <c r="D32" i="10"/>
  <c r="H33" i="10"/>
  <c r="D33" i="10"/>
  <c r="F33" i="10"/>
  <c r="J34" i="10" l="1"/>
  <c r="J35" i="10"/>
  <c r="J33" i="10"/>
  <c r="J32" i="10"/>
  <c r="F36" i="10"/>
  <c r="D36" i="10"/>
  <c r="H36" i="10"/>
  <c r="J36" i="10" l="1"/>
  <c r="H37" i="10"/>
  <c r="D37" i="10"/>
  <c r="F37" i="10"/>
  <c r="J37" i="10" l="1"/>
  <c r="H38" i="10"/>
  <c r="D38" i="10"/>
  <c r="F38" i="10"/>
  <c r="E40" i="10"/>
  <c r="C40" i="10"/>
  <c r="G40" i="10"/>
  <c r="I40" i="10" l="1"/>
  <c r="J38" i="10"/>
</calcChain>
</file>

<file path=xl/sharedStrings.xml><?xml version="1.0" encoding="utf-8"?>
<sst xmlns="http://schemas.openxmlformats.org/spreadsheetml/2006/main" count="563" uniqueCount="266">
  <si>
    <t>OP/OS</t>
  </si>
  <si>
    <t>CLIENTE INTERNO</t>
  </si>
  <si>
    <t>CLIENTE EXTERNO</t>
  </si>
  <si>
    <t>DESCRIÇÃO REDUZIDA</t>
  </si>
  <si>
    <t>VENDEDOR</t>
  </si>
  <si>
    <t>VALOR CONTRATO</t>
  </si>
  <si>
    <t>QTD</t>
  </si>
  <si>
    <t>COORDENADOR DO PROJETO</t>
  </si>
  <si>
    <t>STATUS</t>
  </si>
  <si>
    <t>OBSERVAÇÕES</t>
  </si>
  <si>
    <t>Nº NOTA FISCAL</t>
  </si>
  <si>
    <t>DATA FATURAMENTO</t>
  </si>
  <si>
    <t>VALOR FATURADO</t>
  </si>
  <si>
    <t>CUSTO MATERIAL SISTEMA</t>
  </si>
  <si>
    <t>CUSTO MATERIAL COMPRAS</t>
  </si>
  <si>
    <t>CUSTO MÃO DE OBRA UTILIZADO NORMAL</t>
  </si>
  <si>
    <t>CUSTO MÃO DE OBRA UTILIZADO EXTRA</t>
  </si>
  <si>
    <t>TOTAL HORAS NORMAIS</t>
  </si>
  <si>
    <t>TOTAL HORAS EXTRAS</t>
  </si>
  <si>
    <t>DESPESAS COM FUNCIONARIOS</t>
  </si>
  <si>
    <t>DESPESA COM DESLOCAMENTO</t>
  </si>
  <si>
    <t>TOTAL PARCIAL (M.O+MT+DESP)</t>
  </si>
  <si>
    <t>TOTAL PARCIAL + OUTROS CUSTOS (8%)</t>
  </si>
  <si>
    <t>TOTAL CUSTO (O.C + DI + MT + MO+DESP)</t>
  </si>
  <si>
    <t>MÊS FAT.</t>
  </si>
  <si>
    <t>R$ (CONTRATO - CUSTOS)</t>
  </si>
  <si>
    <t>% (CONTRATO - CUSTOS)</t>
  </si>
  <si>
    <t>ANALISE (CONTRATO - FAT)</t>
  </si>
  <si>
    <t>JANEIRO</t>
  </si>
  <si>
    <t>EM SEPARAÇÃO</t>
  </si>
  <si>
    <t>FEVEREIRO</t>
  </si>
  <si>
    <t>TIPO</t>
  </si>
  <si>
    <t>CONCLUIDA</t>
  </si>
  <si>
    <t>ANDAMENTO</t>
  </si>
  <si>
    <t>NÚMERO O.C</t>
  </si>
  <si>
    <t>FORNECEDOR</t>
  </si>
  <si>
    <t>DATA COMPRA</t>
  </si>
  <si>
    <t>PREVISÃO CHEGADA</t>
  </si>
  <si>
    <t>COND. PGT.</t>
  </si>
  <si>
    <t xml:space="preserve">VALOR </t>
  </si>
  <si>
    <t>CATEGORIA</t>
  </si>
  <si>
    <t>OBSERVAÇÃO</t>
  </si>
  <si>
    <t>MÊS COMPRA</t>
  </si>
  <si>
    <t>ANO COMPRA</t>
  </si>
  <si>
    <t>MATERIA PRIMA</t>
  </si>
  <si>
    <t>EPI</t>
  </si>
  <si>
    <t>NÚMERO NF</t>
  </si>
  <si>
    <t>CLIENTE</t>
  </si>
  <si>
    <t>CÓD. PRODUTO</t>
  </si>
  <si>
    <t>DATA EMISSÃO</t>
  </si>
  <si>
    <t>VALOR DA NF COM IMPOSTO</t>
  </si>
  <si>
    <t>Colunas1</t>
  </si>
  <si>
    <t>MÊS FATURAMENTO</t>
  </si>
  <si>
    <t>ANO FATURAMENTO</t>
  </si>
  <si>
    <t>DATA</t>
  </si>
  <si>
    <t>FUNCIONARIO</t>
  </si>
  <si>
    <t>CLASSIFICAÇÃO</t>
  </si>
  <si>
    <t>FASE</t>
  </si>
  <si>
    <t>CONCATENAR</t>
  </si>
  <si>
    <t>ENT. MANHA</t>
  </si>
  <si>
    <t>SAIDA MANHA</t>
  </si>
  <si>
    <t>ENT. TARDE</t>
  </si>
  <si>
    <t>SAIDA TARDE</t>
  </si>
  <si>
    <t>TOTAL H.N</t>
  </si>
  <si>
    <t>TOTAL H.E</t>
  </si>
  <si>
    <t>HORAS TR.MANHA</t>
  </si>
  <si>
    <t>HORAS TR.TARDE</t>
  </si>
  <si>
    <t>VALOR HXH NORMAL</t>
  </si>
  <si>
    <t>VALOR HXH E_60%</t>
  </si>
  <si>
    <t>VALOR HXH E_75%</t>
  </si>
  <si>
    <t>VALOR HXH E_100%</t>
  </si>
  <si>
    <t>VALOR TOTAL NORMAL</t>
  </si>
  <si>
    <t>VALOR TOTAL60%</t>
  </si>
  <si>
    <t>VALOR TOTAL75%</t>
  </si>
  <si>
    <t>VALOR TOTAL100%</t>
  </si>
  <si>
    <t>TOTAL GERAL NORMAL</t>
  </si>
  <si>
    <t>TOTAL GERAL EXTRAS</t>
  </si>
  <si>
    <t xml:space="preserve">TOTAL GERAL </t>
  </si>
  <si>
    <t>MÊS</t>
  </si>
  <si>
    <t>NORMAL</t>
  </si>
  <si>
    <t>OS/OP</t>
  </si>
  <si>
    <t>CARRO</t>
  </si>
  <si>
    <t>KM RODADOS</t>
  </si>
  <si>
    <t>TAXA</t>
  </si>
  <si>
    <t>VALOR R$</t>
  </si>
  <si>
    <t>IMPRIMIR?</t>
  </si>
  <si>
    <t>ANO</t>
  </si>
  <si>
    <t>INICIO</t>
  </si>
  <si>
    <t>FIM</t>
  </si>
  <si>
    <t>Calendário Vigente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</si>
  <si>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</si>
  <si>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</si>
  <si>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</si>
  <si>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</si>
  <si>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</si>
  <si>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</si>
  <si>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</si>
  <si>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</si>
  <si>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</si>
  <si>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</si>
  <si>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CUSTO HORA</t>
  </si>
  <si>
    <t>60%</t>
  </si>
  <si>
    <t>75%</t>
  </si>
  <si>
    <t>100%</t>
  </si>
  <si>
    <t>HE_60%</t>
  </si>
  <si>
    <t>HE_75%</t>
  </si>
  <si>
    <t>HE_100%</t>
  </si>
  <si>
    <t>EMPRESAS DO GRUPO</t>
  </si>
  <si>
    <t>TIPO DE MOVIMENTAÇÃO</t>
  </si>
  <si>
    <t>TIPO DE PROJETO</t>
  </si>
  <si>
    <t>Colunas2</t>
  </si>
  <si>
    <t>DEMONSTRATIVO - N/CONTAB.</t>
  </si>
  <si>
    <t>INTERNO</t>
  </si>
  <si>
    <t>OUTROS</t>
  </si>
  <si>
    <t>INDUST.</t>
  </si>
  <si>
    <t>EXT312</t>
  </si>
  <si>
    <t>REVENDA</t>
  </si>
  <si>
    <t>CANCELADA</t>
  </si>
  <si>
    <t>KIT/REV.</t>
  </si>
  <si>
    <t>EXT242</t>
  </si>
  <si>
    <t>SERVIÇO</t>
  </si>
  <si>
    <t>WEG</t>
  </si>
  <si>
    <t>SERVIÇOS</t>
  </si>
  <si>
    <t>PARALISADA</t>
  </si>
  <si>
    <t>USO CONSUMO</t>
  </si>
  <si>
    <t>ANALISE CRED.</t>
  </si>
  <si>
    <t>VIAGENS</t>
  </si>
  <si>
    <t>REEMBOLSAR?</t>
  </si>
  <si>
    <t>STATUS REEMBOLSO</t>
  </si>
  <si>
    <t>PERIODO</t>
  </si>
  <si>
    <t>TOTAIS</t>
  </si>
  <si>
    <t>(R$) VENDAS</t>
  </si>
  <si>
    <t>(%) VENDAS</t>
  </si>
  <si>
    <t>(R$) ENG</t>
  </si>
  <si>
    <t>(%) ENG</t>
  </si>
  <si>
    <t>(R$) MLM</t>
  </si>
  <si>
    <t>(%) MLM</t>
  </si>
  <si>
    <t>(R$) MLM MEC</t>
  </si>
  <si>
    <t>(%) MLM MEC</t>
  </si>
  <si>
    <t>(R$) 2AN</t>
  </si>
  <si>
    <t>(%) 2AN</t>
  </si>
  <si>
    <t>(R$) MONT</t>
  </si>
  <si>
    <t>(%) MONT</t>
  </si>
  <si>
    <t>TOTAL</t>
  </si>
  <si>
    <t>% TOTAL</t>
  </si>
  <si>
    <t>PARTICIP %</t>
  </si>
  <si>
    <r>
      <t xml:space="preserve">MÉDIA ATÉ </t>
    </r>
    <r>
      <rPr>
        <b/>
        <sz val="11"/>
        <color rgb="FFFF0000"/>
        <rFont val="Calibri"/>
        <family val="2"/>
        <scheme val="minor"/>
      </rPr>
      <t>O MÊS ATUAL</t>
    </r>
  </si>
  <si>
    <t>-</t>
  </si>
  <si>
    <t>Soma de VALOR FATURADO</t>
  </si>
  <si>
    <t>Soma de R$ (CONTRATO - CUSTOS)</t>
  </si>
  <si>
    <t>Soma de ANALISE (CONTRATO - FAT)</t>
  </si>
  <si>
    <t>VALOR TOTAL FATURADO</t>
  </si>
  <si>
    <t>SOMA TOTAL DOS CUSTOS</t>
  </si>
  <si>
    <t>DIF (R$)</t>
  </si>
  <si>
    <t>DIF (%)</t>
  </si>
  <si>
    <t>Soma de TOTAL CUSTO (O.C + DI + MT + MO+DESP)</t>
  </si>
  <si>
    <t xml:space="preserve">Soma de VALOR </t>
  </si>
  <si>
    <t>Soma de HORAS TR.MANHA</t>
  </si>
  <si>
    <t>Soma de HORAS TR.TARDE</t>
  </si>
  <si>
    <t>Soma de TOTAL H.N</t>
  </si>
  <si>
    <t>Soma de TOTAL H.E</t>
  </si>
  <si>
    <t>Soma de TOTAL GERAL NORMAL</t>
  </si>
  <si>
    <t>Soma de TOTAL GERAL EXTRAS</t>
  </si>
  <si>
    <t>FORA DO CALENDARIO</t>
  </si>
  <si>
    <t>Soma de VALOR R$</t>
  </si>
  <si>
    <t>DESCRIÇÃO</t>
  </si>
  <si>
    <t>VALORES</t>
  </si>
  <si>
    <t>HXH. MANHÃ</t>
  </si>
  <si>
    <t>HXH. TARDE</t>
  </si>
  <si>
    <t>HXH NORMAIS</t>
  </si>
  <si>
    <t>HXH EXTRAS</t>
  </si>
  <si>
    <t>TOTAL HORAS (HORAS)</t>
  </si>
  <si>
    <t>TOTAL HORAS (VALOR R$)</t>
  </si>
  <si>
    <t>TOTAL ACUMULADO</t>
  </si>
  <si>
    <t>Soma de VALOR DA NF COM IMPOSTO</t>
  </si>
  <si>
    <t>NATUREZA</t>
  </si>
  <si>
    <t>DATA ENVIO</t>
  </si>
  <si>
    <t>VALOR ORÇADO</t>
  </si>
  <si>
    <t>NÚMERO DA OP/OS</t>
  </si>
  <si>
    <t>CÓDIGO PROD.</t>
  </si>
  <si>
    <t>DESCRIÇÃO PRODUTO</t>
  </si>
  <si>
    <t>DATA INICIO</t>
  </si>
  <si>
    <t>DATA FIM</t>
  </si>
  <si>
    <t>VALOR DO CONTRATO</t>
  </si>
  <si>
    <t>RESPONSAVÉL PELO PROJETO</t>
  </si>
  <si>
    <t>RESPONSAVÉL EXECUÇÃO</t>
  </si>
  <si>
    <t>QUANTIDADE HORAS NORMAIS GASTAS</t>
  </si>
  <si>
    <t>VALOR HXN</t>
  </si>
  <si>
    <t>QUANTIDADE HORAS EXTRAS GASTAS</t>
  </si>
  <si>
    <t>VALOR HXE</t>
  </si>
  <si>
    <t>DESP. DESLOCAMENTO</t>
  </si>
  <si>
    <t>CUSTOS TOTAIS (O.C + DI + MT + MO+DESP)</t>
  </si>
  <si>
    <t>NOTA FISCAL</t>
  </si>
  <si>
    <t>DIF. (CONTRATO - CUST)</t>
  </si>
  <si>
    <t>Soma de VALOR ORÇADO</t>
  </si>
  <si>
    <t>ANO VIGENTE</t>
  </si>
  <si>
    <t>Soma de VALOR CONTRATO</t>
  </si>
  <si>
    <t>ORDEM DE COMPRA</t>
  </si>
  <si>
    <t>DATA O.C (INICIO)</t>
  </si>
  <si>
    <t>% FAT.</t>
  </si>
  <si>
    <t>SALDO FAT.</t>
  </si>
  <si>
    <t>% ABERTO FAT.</t>
  </si>
  <si>
    <t>INDICAÇÃO</t>
  </si>
  <si>
    <t>% EXECUTADO</t>
  </si>
  <si>
    <t>FINAL MONT (DATA)</t>
  </si>
  <si>
    <t>MÊS DA O.C</t>
  </si>
  <si>
    <t>ANO FINAL.</t>
  </si>
  <si>
    <t>(R$) KIT/REV</t>
  </si>
  <si>
    <t>(%) KIT/SERV</t>
  </si>
  <si>
    <t>(R$) SERVIÇOS (OS)</t>
  </si>
  <si>
    <t>(%) SERVIÇOS (OS)</t>
  </si>
  <si>
    <t>(R$) IND</t>
  </si>
  <si>
    <t xml:space="preserve">(%) IND </t>
  </si>
  <si>
    <t>VALOR TOTAL CONTRATO</t>
  </si>
  <si>
    <t>EMPRESA 1</t>
  </si>
  <si>
    <t>EMPRESA 2</t>
  </si>
  <si>
    <t>EMPRESA 3</t>
  </si>
  <si>
    <t>EMPRESA 4</t>
  </si>
  <si>
    <t>EMPRESA 5</t>
  </si>
  <si>
    <t>EMPRESA 6</t>
  </si>
  <si>
    <t>EMPRESA 7</t>
  </si>
  <si>
    <t>EMPRESA 8</t>
  </si>
  <si>
    <t>EMPRESA 9</t>
  </si>
  <si>
    <t>FUNCIONARIO1</t>
  </si>
  <si>
    <t>FUNCIONARIO2</t>
  </si>
  <si>
    <t>FUNCIONARIO3</t>
  </si>
  <si>
    <t>FUNCIONARIO4</t>
  </si>
  <si>
    <t>FUNCIONARIO5</t>
  </si>
  <si>
    <t>FUNCIONARIO6</t>
  </si>
  <si>
    <t>FUNCIONARIO7</t>
  </si>
  <si>
    <t>FUNCIONARIO8</t>
  </si>
  <si>
    <t>FUNCIONARIO9</t>
  </si>
  <si>
    <t>FUNCIONARIO10</t>
  </si>
  <si>
    <t>FUNCIONARIO11</t>
  </si>
  <si>
    <t>FUNCIONARIO12</t>
  </si>
  <si>
    <t>FUNCIONARIO13</t>
  </si>
  <si>
    <t>FUNCIONARIO14</t>
  </si>
  <si>
    <t>FUNCIONARIO15</t>
  </si>
  <si>
    <t>FUNCIONARIO16</t>
  </si>
  <si>
    <t>FUNCIONARIO17</t>
  </si>
  <si>
    <t>FUNCIONARIO18</t>
  </si>
  <si>
    <t>FUNCIONARIO19</t>
  </si>
  <si>
    <t>FUNCIONARIO20</t>
  </si>
  <si>
    <t>FUNCIONARIO21</t>
  </si>
  <si>
    <t>FUNCIONARIO22</t>
  </si>
  <si>
    <t>FUNCIONARIO23</t>
  </si>
  <si>
    <t>FUNCIONARIO24</t>
  </si>
  <si>
    <t>FUNCIONARIO25</t>
  </si>
  <si>
    <t>FUNCIONARIO26</t>
  </si>
  <si>
    <t>FUNCIONARIO27</t>
  </si>
  <si>
    <t>FUNCIONARIO28</t>
  </si>
  <si>
    <t>FUNCIONARIO29</t>
  </si>
  <si>
    <t>FUNCIONARIO30</t>
  </si>
  <si>
    <t>--</t>
  </si>
  <si>
    <t>-- Total</t>
  </si>
  <si>
    <t>EMPRESA1</t>
  </si>
  <si>
    <t>EMPRESA2</t>
  </si>
  <si>
    <t>EMPRESA3</t>
  </si>
  <si>
    <t>EMPRESA4</t>
  </si>
  <si>
    <t>EMPRESA5</t>
  </si>
  <si>
    <t>EMPRESA6</t>
  </si>
  <si>
    <t>Grand Total</t>
  </si>
  <si>
    <t>(blank)</t>
  </si>
  <si>
    <t>Column Labels</t>
  </si>
  <si>
    <t>Row Labels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</si>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</sst>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&quot;R$&quot;* #,##0.00_);_(&quot;R$&quot;* \(#,##0.00\);_(&quot;R$&quot;* &quot;-&quot;??_);_(@_)"/>
    <numFmt numFmtId="165" formatCode="[h]:mm:ss;@"/>
    <numFmt numFmtId="166" formatCode="_-[$R$-416]\ * #,##0.00_-;\-[$R$-416]\ * #,##0.00_-;_-[$R$-416]\ * &quot;-&quot;??_-;_-@_-"/>
    <numFmt numFmtId="167" formatCode="[$-F400]h:mm:ss\ AM/PM"/>
    <numFmt numFmtId="168" formatCode="_(* #,##0.00_);_(* \(#,##0.00\);_(* &quot;-&quot;??_);_(@_)"/>
    <numFmt numFmtId="169" formatCode="m/d/yyyy"/>
    <numFmt numFmtId="170" formatCode="&quot;R$&quot;\ 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Times New Roman"/>
      <family val="1"/>
    </font>
    <font>
      <sz val="12"/>
      <color theme="1"/>
      <name val="Calibri"/>
      <family val="2"/>
      <scheme val="minor"/>
    </font>
    <font>
      <sz val="8"/>
      <color rgb="FF000000"/>
      <name val="Calibri"/>
      <family val="2"/>
    </font>
    <font>
      <b/>
      <sz val="8"/>
      <color rgb="FF000000"/>
      <name val="Calibri"/>
      <family val="2"/>
    </font>
    <font>
      <b/>
      <sz val="8"/>
      <color rgb="FF0000FF"/>
      <name val="Calibri"/>
      <family val="2"/>
    </font>
    <font>
      <b/>
      <sz val="8"/>
      <color rgb="FFFF0000"/>
      <name val="Calibri"/>
      <family val="2"/>
    </font>
    <font>
      <sz val="11"/>
      <color rgb="FF000000"/>
      <name val="Calibri"/>
      <family val="2"/>
    </font>
    <font>
      <b/>
      <sz val="14"/>
      <color rgb="FF0000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theme="0" tint="-0.24994659260841701"/>
      </left>
      <right/>
      <top style="dotted">
        <color theme="0" tint="-0.24994659260841701"/>
      </top>
      <bottom/>
      <diagonal/>
    </border>
    <border>
      <left/>
      <right/>
      <top style="dotted">
        <color theme="0" tint="-0.24994659260841701"/>
      </top>
      <bottom/>
      <diagonal/>
    </border>
    <border>
      <left/>
      <right style="dotted">
        <color theme="0" tint="-0.24994659260841701"/>
      </right>
      <top style="dotted">
        <color theme="0" tint="-0.24994659260841701"/>
      </top>
      <bottom/>
      <diagonal/>
    </border>
    <border>
      <left style="dotted">
        <color theme="0" tint="-0.24994659260841701"/>
      </left>
      <right/>
      <top/>
      <bottom/>
      <diagonal/>
    </border>
    <border>
      <left/>
      <right style="dotted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dotted">
        <color theme="0" tint="-0.24994659260841701"/>
      </right>
      <top/>
      <bottom/>
      <diagonal/>
    </border>
    <border>
      <left style="thin">
        <color indexed="64"/>
      </left>
      <right style="dotted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tted">
        <color theme="0" tint="-0.24994659260841701"/>
      </left>
      <right/>
      <top/>
      <bottom style="dotted">
        <color theme="0" tint="-0.24994659260841701"/>
      </bottom>
      <diagonal/>
    </border>
    <border>
      <left/>
      <right/>
      <top/>
      <bottom style="dotted">
        <color theme="0" tint="-0.24994659260841701"/>
      </bottom>
      <diagonal/>
    </border>
    <border>
      <left/>
      <right style="dotted">
        <color theme="0" tint="-0.24994659260841701"/>
      </right>
      <top/>
      <bottom style="dotted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9">
    <xf numFmtId="0" fontId="0" fillId="0" borderId="0" xfId="0"/>
    <xf numFmtId="14" fontId="0" fillId="0" borderId="0" xfId="0" applyNumberFormat="1"/>
    <xf numFmtId="0" fontId="2" fillId="2" borderId="0" xfId="0" applyFont="1" applyFill="1"/>
    <xf numFmtId="166" fontId="0" fillId="0" borderId="0" xfId="0" applyNumberFormat="1"/>
    <xf numFmtId="164" fontId="0" fillId="0" borderId="0" xfId="1" applyFont="1"/>
    <xf numFmtId="0" fontId="0" fillId="3" borderId="1" xfId="0" applyFill="1" applyBorder="1"/>
    <xf numFmtId="0" fontId="0" fillId="0" borderId="1" xfId="0" applyBorder="1"/>
    <xf numFmtId="166" fontId="0" fillId="3" borderId="1" xfId="0" applyNumberFormat="1" applyFill="1" applyBorder="1"/>
    <xf numFmtId="0" fontId="0" fillId="0" borderId="0" xfId="1" applyNumberFormat="1" applyFont="1"/>
    <xf numFmtId="14" fontId="0" fillId="0" borderId="0" xfId="1" applyNumberFormat="1" applyFont="1"/>
    <xf numFmtId="166" fontId="0" fillId="0" borderId="0" xfId="1" applyNumberFormat="1" applyFont="1"/>
    <xf numFmtId="9" fontId="0" fillId="0" borderId="0" xfId="3" applyFont="1"/>
    <xf numFmtId="165" fontId="0" fillId="0" borderId="0" xfId="1" applyNumberFormat="1" applyFont="1"/>
    <xf numFmtId="0" fontId="4" fillId="4" borderId="0" xfId="0" applyFont="1" applyFill="1" applyAlignment="1">
      <alignment horizontal="center"/>
    </xf>
    <xf numFmtId="14" fontId="4" fillId="4" borderId="0" xfId="0" applyNumberFormat="1" applyFont="1" applyFill="1" applyAlignment="1">
      <alignment horizontal="center"/>
    </xf>
    <xf numFmtId="0" fontId="0" fillId="5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/>
    <xf numFmtId="0" fontId="3" fillId="4" borderId="0" xfId="0" applyFont="1" applyFill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0" borderId="7" xfId="0" applyNumberFormat="1" applyBorder="1"/>
    <xf numFmtId="14" fontId="0" fillId="0" borderId="8" xfId="0" applyNumberFormat="1" applyBorder="1"/>
    <xf numFmtId="14" fontId="0" fillId="7" borderId="8" xfId="0" applyNumberFormat="1" applyFill="1" applyBorder="1"/>
    <xf numFmtId="14" fontId="0" fillId="7" borderId="7" xfId="0" applyNumberFormat="1" applyFill="1" applyBorder="1"/>
    <xf numFmtId="14" fontId="0" fillId="0" borderId="9" xfId="0" applyNumberFormat="1" applyBorder="1"/>
    <xf numFmtId="14" fontId="0" fillId="0" borderId="10" xfId="0" applyNumberFormat="1" applyBorder="1"/>
    <xf numFmtId="14" fontId="0" fillId="0" borderId="11" xfId="0" applyNumberFormat="1" applyBorder="1"/>
    <xf numFmtId="0" fontId="0" fillId="0" borderId="5" xfId="0" applyBorder="1"/>
    <xf numFmtId="0" fontId="0" fillId="0" borderId="12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7" xfId="2" applyFont="1" applyBorder="1"/>
    <xf numFmtId="164" fontId="0" fillId="0" borderId="0" xfId="2" applyFont="1" applyBorder="1"/>
    <xf numFmtId="164" fontId="0" fillId="0" borderId="8" xfId="2" applyFont="1" applyBorder="1"/>
    <xf numFmtId="164" fontId="0" fillId="0" borderId="9" xfId="2" applyFont="1" applyBorder="1"/>
    <xf numFmtId="164" fontId="0" fillId="0" borderId="11" xfId="2" applyFont="1" applyBorder="1"/>
    <xf numFmtId="164" fontId="0" fillId="0" borderId="10" xfId="2" applyFont="1" applyBorder="1"/>
    <xf numFmtId="166" fontId="6" fillId="7" borderId="0" xfId="0" applyNumberFormat="1" applyFont="1" applyFill="1"/>
    <xf numFmtId="0" fontId="2" fillId="8" borderId="0" xfId="0" applyFont="1" applyFill="1"/>
    <xf numFmtId="14" fontId="2" fillId="8" borderId="0" xfId="0" applyNumberFormat="1" applyFont="1" applyFill="1"/>
    <xf numFmtId="166" fontId="2" fillId="8" borderId="0" xfId="0" applyNumberFormat="1" applyFont="1" applyFill="1"/>
    <xf numFmtId="167" fontId="8" fillId="0" borderId="0" xfId="0" applyNumberFormat="1" applyFont="1"/>
    <xf numFmtId="165" fontId="9" fillId="0" borderId="0" xfId="0" applyNumberFormat="1" applyFont="1"/>
    <xf numFmtId="0" fontId="0" fillId="0" borderId="3" xfId="0" applyBorder="1" applyAlignment="1">
      <alignment vertical="center"/>
    </xf>
    <xf numFmtId="0" fontId="2" fillId="10" borderId="11" xfId="0" applyFont="1" applyFill="1" applyBorder="1" applyAlignment="1">
      <alignment horizont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2" fillId="9" borderId="13" xfId="2" applyFont="1" applyFill="1" applyBorder="1" applyAlignment="1">
      <alignment horizontal="center" wrapText="1"/>
    </xf>
    <xf numFmtId="0" fontId="2" fillId="9" borderId="13" xfId="0" applyFont="1" applyFill="1" applyBorder="1" applyAlignment="1">
      <alignment horizontal="center" wrapText="1"/>
    </xf>
    <xf numFmtId="0" fontId="0" fillId="10" borderId="14" xfId="0" applyFill="1" applyBorder="1" applyAlignment="1">
      <alignment horizontal="center"/>
    </xf>
    <xf numFmtId="164" fontId="0" fillId="10" borderId="13" xfId="2" applyFont="1" applyFill="1" applyBorder="1" applyAlignment="1">
      <alignment horizontal="center"/>
    </xf>
    <xf numFmtId="10" fontId="0" fillId="10" borderId="13" xfId="3" applyNumberFormat="1" applyFont="1" applyFill="1" applyBorder="1"/>
    <xf numFmtId="164" fontId="0" fillId="10" borderId="13" xfId="2" applyFont="1" applyFill="1" applyBorder="1"/>
    <xf numFmtId="164" fontId="0" fillId="9" borderId="13" xfId="2" applyFont="1" applyFill="1" applyBorder="1"/>
    <xf numFmtId="9" fontId="0" fillId="9" borderId="13" xfId="3" applyFont="1" applyFill="1" applyBorder="1"/>
    <xf numFmtId="0" fontId="2" fillId="10" borderId="14" xfId="0" applyFont="1" applyFill="1" applyBorder="1" applyAlignment="1">
      <alignment horizontal="center"/>
    </xf>
    <xf numFmtId="168" fontId="2" fillId="10" borderId="13" xfId="0" applyNumberFormat="1" applyFont="1" applyFill="1" applyBorder="1"/>
    <xf numFmtId="0" fontId="0" fillId="10" borderId="13" xfId="0" applyFill="1" applyBorder="1"/>
    <xf numFmtId="10" fontId="0" fillId="10" borderId="13" xfId="0" applyNumberFormat="1" applyFill="1" applyBorder="1"/>
    <xf numFmtId="168" fontId="2" fillId="9" borderId="13" xfId="0" applyNumberFormat="1" applyFont="1" applyFill="1" applyBorder="1"/>
    <xf numFmtId="0" fontId="0" fillId="9" borderId="13" xfId="0" applyFill="1" applyBorder="1"/>
    <xf numFmtId="10" fontId="2" fillId="10" borderId="13" xfId="3" applyNumberFormat="1" applyFont="1" applyFill="1" applyBorder="1"/>
    <xf numFmtId="9" fontId="2" fillId="9" borderId="13" xfId="3" applyFont="1" applyFill="1" applyBorder="1"/>
    <xf numFmtId="10" fontId="0" fillId="9" borderId="13" xfId="0" applyNumberFormat="1" applyFill="1" applyBorder="1"/>
    <xf numFmtId="0" fontId="0" fillId="10" borderId="6" xfId="0" applyFill="1" applyBorder="1" applyAlignment="1">
      <alignment horizontal="center"/>
    </xf>
    <xf numFmtId="168" fontId="0" fillId="10" borderId="2" xfId="0" applyNumberFormat="1" applyFill="1" applyBorder="1"/>
    <xf numFmtId="4" fontId="0" fillId="10" borderId="2" xfId="0" applyNumberFormat="1" applyFill="1" applyBorder="1"/>
    <xf numFmtId="4" fontId="0" fillId="9" borderId="13" xfId="0" applyNumberFormat="1" applyFill="1" applyBorder="1"/>
    <xf numFmtId="14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11" borderId="15" xfId="0" applyFill="1" applyBorder="1"/>
    <xf numFmtId="0" fontId="0" fillId="11" borderId="16" xfId="0" applyFill="1" applyBorder="1"/>
    <xf numFmtId="0" fontId="0" fillId="11" borderId="16" xfId="0" applyFill="1" applyBorder="1" applyAlignment="1">
      <alignment vertical="center"/>
    </xf>
    <xf numFmtId="0" fontId="0" fillId="11" borderId="14" xfId="0" applyFill="1" applyBorder="1"/>
    <xf numFmtId="0" fontId="0" fillId="12" borderId="0" xfId="0" applyFill="1"/>
    <xf numFmtId="0" fontId="0" fillId="8" borderId="0" xfId="0" applyFill="1"/>
    <xf numFmtId="166" fontId="0" fillId="8" borderId="0" xfId="0" applyNumberFormat="1" applyFill="1"/>
    <xf numFmtId="0" fontId="0" fillId="0" borderId="0" xfId="0" applyAlignment="1">
      <alignment horizontal="left"/>
    </xf>
    <xf numFmtId="0" fontId="0" fillId="0" borderId="0" xfId="0" pivotButton="1"/>
    <xf numFmtId="0" fontId="2" fillId="0" borderId="0" xfId="0" applyFont="1"/>
    <xf numFmtId="164" fontId="0" fillId="0" borderId="0" xfId="0" pivotButton="1" applyNumberFormat="1"/>
    <xf numFmtId="165" fontId="0" fillId="0" borderId="0" xfId="0" applyNumberFormat="1"/>
    <xf numFmtId="0" fontId="3" fillId="8" borderId="13" xfId="0" applyFont="1" applyFill="1" applyBorder="1"/>
    <xf numFmtId="165" fontId="0" fillId="0" borderId="13" xfId="0" applyNumberFormat="1" applyBorder="1"/>
    <xf numFmtId="166" fontId="2" fillId="5" borderId="13" xfId="0" applyNumberFormat="1" applyFont="1" applyFill="1" applyBorder="1"/>
    <xf numFmtId="0" fontId="3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166" fontId="0" fillId="12" borderId="0" xfId="0" applyNumberFormat="1" applyFill="1"/>
    <xf numFmtId="14" fontId="0" fillId="12" borderId="0" xfId="0" applyNumberFormat="1" applyFill="1"/>
    <xf numFmtId="164" fontId="0" fillId="12" borderId="0" xfId="1" applyFont="1" applyFill="1"/>
    <xf numFmtId="0" fontId="0" fillId="12" borderId="0" xfId="1" applyNumberFormat="1" applyFont="1" applyFill="1"/>
    <xf numFmtId="14" fontId="0" fillId="12" borderId="0" xfId="1" applyNumberFormat="1" applyFont="1" applyFill="1"/>
    <xf numFmtId="166" fontId="0" fillId="12" borderId="0" xfId="1" applyNumberFormat="1" applyFont="1" applyFill="1"/>
    <xf numFmtId="0" fontId="2" fillId="5" borderId="0" xfId="0" applyFont="1" applyFill="1"/>
    <xf numFmtId="164" fontId="7" fillId="5" borderId="0" xfId="1" applyFont="1" applyFill="1"/>
    <xf numFmtId="0" fontId="11" fillId="0" borderId="0" xfId="0" applyFont="1"/>
    <xf numFmtId="0" fontId="13" fillId="0" borderId="13" xfId="0" applyFont="1" applyBorder="1" applyAlignment="1">
      <alignment horizontal="center"/>
    </xf>
    <xf numFmtId="0" fontId="11" fillId="0" borderId="17" xfId="0" applyFont="1" applyBorder="1"/>
    <xf numFmtId="0" fontId="11" fillId="0" borderId="18" xfId="0" applyFont="1" applyBorder="1"/>
    <xf numFmtId="0" fontId="11" fillId="0" borderId="19" xfId="0" applyFont="1" applyBorder="1"/>
    <xf numFmtId="0" fontId="14" fillId="3" borderId="20" xfId="0" applyFont="1" applyFill="1" applyBorder="1"/>
    <xf numFmtId="0" fontId="14" fillId="0" borderId="13" xfId="0" applyFont="1" applyBorder="1"/>
    <xf numFmtId="0" fontId="14" fillId="0" borderId="15" xfId="0" applyFont="1" applyBorder="1"/>
    <xf numFmtId="0" fontId="14" fillId="0" borderId="16" xfId="0" applyFont="1" applyBorder="1"/>
    <xf numFmtId="0" fontId="14" fillId="0" borderId="21" xfId="0" applyFont="1" applyBorder="1"/>
    <xf numFmtId="0" fontId="11" fillId="0" borderId="20" xfId="0" applyFont="1" applyBorder="1"/>
    <xf numFmtId="0" fontId="11" fillId="0" borderId="22" xfId="0" applyFont="1" applyBorder="1"/>
    <xf numFmtId="0" fontId="12" fillId="0" borderId="16" xfId="0" applyFont="1" applyBorder="1"/>
    <xf numFmtId="0" fontId="12" fillId="0" borderId="14" xfId="0" applyFont="1" applyBorder="1"/>
    <xf numFmtId="0" fontId="14" fillId="0" borderId="23" xfId="0" applyFont="1" applyBorder="1" applyAlignment="1">
      <alignment horizontal="center"/>
    </xf>
    <xf numFmtId="0" fontId="12" fillId="0" borderId="0" xfId="0" applyFont="1"/>
    <xf numFmtId="0" fontId="12" fillId="0" borderId="22" xfId="0" applyFont="1" applyBorder="1"/>
    <xf numFmtId="14" fontId="14" fillId="0" borderId="13" xfId="0" applyNumberFormat="1" applyFont="1" applyBorder="1"/>
    <xf numFmtId="0" fontId="14" fillId="3" borderId="0" xfId="0" applyFont="1" applyFill="1"/>
    <xf numFmtId="166" fontId="14" fillId="0" borderId="13" xfId="0" applyNumberFormat="1" applyFont="1" applyBorder="1"/>
    <xf numFmtId="0" fontId="14" fillId="0" borderId="14" xfId="0" applyFont="1" applyBorder="1"/>
    <xf numFmtId="0" fontId="11" fillId="0" borderId="24" xfId="0" applyFont="1" applyBorder="1"/>
    <xf numFmtId="0" fontId="11" fillId="0" borderId="25" xfId="0" applyFont="1" applyBorder="1"/>
    <xf numFmtId="0" fontId="15" fillId="0" borderId="25" xfId="0" applyFont="1" applyBorder="1"/>
    <xf numFmtId="0" fontId="15" fillId="0" borderId="26" xfId="0" applyFont="1" applyBorder="1"/>
    <xf numFmtId="2" fontId="12" fillId="5" borderId="22" xfId="0" applyNumberFormat="1" applyFont="1" applyFill="1" applyBorder="1" applyAlignment="1">
      <alignment horizontal="center"/>
    </xf>
    <xf numFmtId="164" fontId="14" fillId="0" borderId="13" xfId="2" applyFont="1" applyBorder="1" applyAlignment="1"/>
    <xf numFmtId="2" fontId="14" fillId="0" borderId="13" xfId="2" applyNumberFormat="1" applyFont="1" applyBorder="1" applyAlignment="1"/>
    <xf numFmtId="0" fontId="14" fillId="3" borderId="0" xfId="0" applyFont="1" applyFill="1" applyAlignment="1">
      <alignment horizontal="center"/>
    </xf>
    <xf numFmtId="0" fontId="11" fillId="0" borderId="26" xfId="0" applyFont="1" applyBorder="1"/>
    <xf numFmtId="164" fontId="11" fillId="0" borderId="0" xfId="0" applyNumberFormat="1" applyFont="1"/>
    <xf numFmtId="0" fontId="17" fillId="0" borderId="0" xfId="0" applyFont="1"/>
    <xf numFmtId="0" fontId="0" fillId="13" borderId="0" xfId="0" applyFill="1"/>
    <xf numFmtId="166" fontId="0" fillId="13" borderId="0" xfId="0" applyNumberFormat="1" applyFill="1"/>
    <xf numFmtId="14" fontId="0" fillId="13" borderId="0" xfId="0" applyNumberFormat="1" applyFill="1"/>
    <xf numFmtId="164" fontId="0" fillId="13" borderId="0" xfId="1" applyFont="1" applyFill="1"/>
    <xf numFmtId="0" fontId="0" fillId="13" borderId="0" xfId="1" applyNumberFormat="1" applyFont="1" applyFill="1"/>
    <xf numFmtId="14" fontId="0" fillId="13" borderId="0" xfId="1" applyNumberFormat="1" applyFont="1" applyFill="1"/>
    <xf numFmtId="166" fontId="0" fillId="13" borderId="0" xfId="1" applyNumberFormat="1" applyFont="1" applyFill="1"/>
    <xf numFmtId="0" fontId="10" fillId="13" borderId="0" xfId="0" applyFont="1" applyFill="1" applyAlignment="1">
      <alignment horizontal="center"/>
    </xf>
    <xf numFmtId="169" fontId="0" fillId="0" borderId="0" xfId="0" applyNumberFormat="1"/>
    <xf numFmtId="169" fontId="0" fillId="0" borderId="0" xfId="1" applyNumberFormat="1" applyFont="1"/>
    <xf numFmtId="14" fontId="0" fillId="0" borderId="0" xfId="0" applyNumberFormat="1" applyAlignment="1">
      <alignment horizontal="left"/>
    </xf>
    <xf numFmtId="14" fontId="0" fillId="0" borderId="0" xfId="3" applyNumberFormat="1" applyFont="1"/>
    <xf numFmtId="0" fontId="0" fillId="11" borderId="15" xfId="0" applyFill="1" applyBorder="1" applyAlignment="1">
      <alignment vertical="center"/>
    </xf>
    <xf numFmtId="0" fontId="2" fillId="10" borderId="10" xfId="0" applyFont="1" applyFill="1" applyBorder="1" applyAlignment="1">
      <alignment horizontal="center" wrapText="1"/>
    </xf>
    <xf numFmtId="0" fontId="2" fillId="10" borderId="4" xfId="0" applyFont="1" applyFill="1" applyBorder="1" applyAlignment="1">
      <alignment horizontal="center" wrapText="1"/>
    </xf>
    <xf numFmtId="164" fontId="2" fillId="3" borderId="4" xfId="2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164" fontId="0" fillId="3" borderId="13" xfId="2" applyFont="1" applyFill="1" applyBorder="1"/>
    <xf numFmtId="9" fontId="0" fillId="3" borderId="13" xfId="3" applyFont="1" applyFill="1" applyBorder="1"/>
    <xf numFmtId="0" fontId="0" fillId="3" borderId="13" xfId="0" applyFill="1" applyBorder="1"/>
    <xf numFmtId="10" fontId="2" fillId="3" borderId="13" xfId="3" applyNumberFormat="1" applyFont="1" applyFill="1" applyBorder="1"/>
    <xf numFmtId="10" fontId="0" fillId="3" borderId="13" xfId="0" applyNumberFormat="1" applyFill="1" applyBorder="1"/>
    <xf numFmtId="4" fontId="0" fillId="3" borderId="2" xfId="0" applyNumberFormat="1" applyFill="1" applyBorder="1"/>
    <xf numFmtId="0" fontId="0" fillId="0" borderId="0" xfId="0" applyAlignment="1">
      <alignment horizontal="left" indent="1"/>
    </xf>
    <xf numFmtId="164" fontId="0" fillId="0" borderId="0" xfId="0" applyNumberFormat="1"/>
    <xf numFmtId="170" fontId="0" fillId="0" borderId="0" xfId="0" applyNumberFormat="1"/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2" fillId="8" borderId="0" xfId="0" applyFont="1" applyFill="1" applyAlignment="1">
      <alignment horizontal="center"/>
    </xf>
    <xf numFmtId="169" fontId="0" fillId="0" borderId="0" xfId="3" applyNumberFormat="1" applyFont="1"/>
    <xf numFmtId="0" fontId="0" fillId="0" borderId="0" xfId="3" applyNumberFormat="1" applyFont="1"/>
    <xf numFmtId="3" fontId="0" fillId="0" borderId="0" xfId="0" applyNumberFormat="1" applyAlignment="1">
      <alignment horizontal="left"/>
    </xf>
    <xf numFmtId="169" fontId="0" fillId="0" borderId="0" xfId="0" applyNumberFormat="1" applyAlignment="1">
      <alignment horizontal="left"/>
    </xf>
    <xf numFmtId="0" fontId="7" fillId="10" borderId="0" xfId="0" applyFont="1" applyFill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14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wrapText="1"/>
    </xf>
    <xf numFmtId="0" fontId="2" fillId="5" borderId="16" xfId="0" applyFont="1" applyFill="1" applyBorder="1" applyAlignment="1">
      <alignment horizontal="center" wrapText="1"/>
    </xf>
    <xf numFmtId="0" fontId="3" fillId="8" borderId="15" xfId="0" applyFont="1" applyFill="1" applyBorder="1" applyAlignment="1">
      <alignment horizontal="center" wrapText="1"/>
    </xf>
    <xf numFmtId="0" fontId="3" fillId="8" borderId="14" xfId="0" applyFont="1" applyFill="1" applyBorder="1" applyAlignment="1">
      <alignment horizontal="center" wrapText="1"/>
    </xf>
    <xf numFmtId="0" fontId="0" fillId="9" borderId="15" xfId="0" applyFill="1" applyBorder="1" applyAlignment="1">
      <alignment horizontal="left" wrapText="1"/>
    </xf>
    <xf numFmtId="0" fontId="0" fillId="9" borderId="16" xfId="0" applyFill="1" applyBorder="1" applyAlignment="1">
      <alignment horizontal="left" wrapText="1"/>
    </xf>
    <xf numFmtId="0" fontId="2" fillId="5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textRotation="90"/>
    </xf>
    <xf numFmtId="0" fontId="3" fillId="4" borderId="3" xfId="0" applyFont="1" applyFill="1" applyBorder="1" applyAlignment="1">
      <alignment horizontal="center" vertical="center" textRotation="90"/>
    </xf>
    <xf numFmtId="0" fontId="3" fillId="4" borderId="4" xfId="0" applyFont="1" applyFill="1" applyBorder="1" applyAlignment="1">
      <alignment horizontal="center" vertical="center" textRotation="90"/>
    </xf>
    <xf numFmtId="0" fontId="14" fillId="3" borderId="20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165" fontId="16" fillId="0" borderId="15" xfId="2" applyNumberFormat="1" applyFont="1" applyFill="1" applyBorder="1" applyAlignment="1">
      <alignment horizontal="center" vertical="center"/>
    </xf>
    <xf numFmtId="165" fontId="16" fillId="0" borderId="16" xfId="2" applyNumberFormat="1" applyFont="1" applyFill="1" applyBorder="1" applyAlignment="1">
      <alignment horizontal="center" vertical="center"/>
    </xf>
    <xf numFmtId="165" fontId="16" fillId="0" borderId="14" xfId="2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14" fontId="14" fillId="0" borderId="15" xfId="0" applyNumberFormat="1" applyFont="1" applyBorder="1" applyAlignment="1">
      <alignment horizontal="center"/>
    </xf>
    <xf numFmtId="14" fontId="14" fillId="0" borderId="14" xfId="0" applyNumberFormat="1" applyFont="1" applyBorder="1" applyAlignment="1">
      <alignment horizontal="center"/>
    </xf>
    <xf numFmtId="14" fontId="14" fillId="0" borderId="16" xfId="0" applyNumberFormat="1" applyFont="1" applyBorder="1" applyAlignment="1">
      <alignment horizontal="center"/>
    </xf>
    <xf numFmtId="0" fontId="11" fillId="0" borderId="5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2" fontId="14" fillId="0" borderId="15" xfId="2" applyNumberFormat="1" applyFont="1" applyBorder="1" applyAlignment="1">
      <alignment horizontal="center"/>
    </xf>
    <xf numFmtId="2" fontId="14" fillId="0" borderId="21" xfId="2" applyNumberFormat="1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0" fillId="0" borderId="0" xfId="0" applyNumberFormat="1"/>
  </cellXfs>
  <cellStyles count="5">
    <cellStyle name="Currency" xfId="1" builtinId="4"/>
    <cellStyle name="Moeda 2" xfId="2" xr:uid="{00000000-0005-0000-0000-000001000000}"/>
    <cellStyle name="Moeda 3" xfId="4" xr:uid="{00000000-0005-0000-0000-000002000000}"/>
    <cellStyle name="Normal" xfId="0" builtinId="0"/>
    <cellStyle name="Percent" xfId="3" builtinId="5"/>
  </cellStyles>
  <dxfs count="138"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6" formatCode="_-[$R$-416]\ * #,##0.00_-;\-[$R$-416]\ * #,##0.00_-;_-[$R$-416]\ * &quot;-&quot;??_-;_-@_-"/>
    </dxf>
    <dxf>
      <numFmt numFmtId="164" formatCode="_(&quot;R$&quot;* #,##0.00_);_(&quot;R$&quot;* \(#,##0.00\);_(&quot;R$&quot;* &quot;-&quot;??_);_(@_)"/>
    </dxf>
    <dxf>
      <numFmt numFmtId="166" formatCode="_-[$R$-416]\ * #,##0.00_-;\-[$R$-416]\ * #,##0.00_-;_-[$R$-416]\ * &quot;-&quot;??_-;_-@_-"/>
    </dxf>
    <dxf>
      <numFmt numFmtId="164" formatCode="_(&quot;R$&quot;* #,##0.00_);_(&quot;R$&quot;* \(#,##0.00\);_(&quot;R$&quot;* &quot;-&quot;??_);_(@_)"/>
    </dxf>
    <dxf>
      <numFmt numFmtId="0" formatCode="General"/>
    </dxf>
    <dxf>
      <numFmt numFmtId="169" formatCode="m/d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9" formatCode="m/d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</dxf>
    <dxf>
      <numFmt numFmtId="166" formatCode="_-[$R$-416]\ * #,##0.00_-;\-[$R$-416]\ * #,##0.00_-;_-[$R$-416]\ * &quot;-&quot;??_-;_-@_-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horizontal="center" readingOrder="0"/>
    </dxf>
    <dxf>
      <numFmt numFmtId="164" formatCode="_(&quot;R$&quot;* #,##0.00_);_(&quot;R$&quot;* \(#,##0.00\);_(&quot;R$&quot;* &quot;-&quot;??_);_(@_)"/>
    </dxf>
    <dxf>
      <numFmt numFmtId="166" formatCode="_-[$R$-416]\ * #,##0.00_-;\-[$R$-416]\ * #,##0.00_-;_-[$R$-416]\ * &quot;-&quot;??_-;_-@_-"/>
    </dxf>
    <dxf>
      <alignment horizontal="center" readingOrder="0"/>
    </dxf>
    <dxf>
      <numFmt numFmtId="164" formatCode="_(&quot;R$&quot;* #,##0.00_);_(&quot;R$&quot;* \(#,##0.00\);_(&quot;R$&quot;* &quot;-&quot;??_);_(@_)"/>
    </dxf>
    <dxf>
      <numFmt numFmtId="166" formatCode="_-[$R$-416]\ * #,##0.00_-;\-[$R$-416]\ * #,##0.00_-;_-[$R$-416]\ * &quot;-&quot;??_-;_-@_-"/>
    </dxf>
    <dxf>
      <numFmt numFmtId="164" formatCode="_(&quot;R$&quot;* #,##0.00_);_(&quot;R$&quot;* \(#,##0.00\);_(&quot;R$&quot;* &quot;-&quot;??_);_(@_)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65" formatCode="[h]:mm:ss;@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65" formatCode="[h]:mm:ss;@"/>
    </dxf>
    <dxf>
      <font>
        <color theme="1" tint="0.34998626667073579"/>
      </font>
      <numFmt numFmtId="165" formatCode="[h]:mm:ss;@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65" formatCode="[h]:mm:ss;@"/>
    </dxf>
    <dxf>
      <font>
        <strike val="0"/>
        <outline val="0"/>
        <shadow val="0"/>
        <u val="none"/>
        <vertAlign val="baseline"/>
        <sz val="11"/>
        <color rgb="FF002060"/>
        <name val="Calibri"/>
        <scheme val="minor"/>
      </font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rgb="FF002060"/>
        <name val="Calibri"/>
        <scheme val="minor"/>
      </font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rgb="FF002060"/>
        <name val="Calibri"/>
        <scheme val="minor"/>
      </font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rgb="FF002060"/>
        <name val="Calibri"/>
        <scheme val="minor"/>
      </font>
      <numFmt numFmtId="167" formatCode="[$-F400]h:mm:ss\ AM/PM"/>
    </dxf>
    <dxf>
      <numFmt numFmtId="169" formatCode="m/d/yyyy"/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[$R$-416]\ * #,##0.00_-;\-[$R$-416]\ * #,##0.00_-;_-[$R$-416]\ * &quot;-&quot;??_-;_-@_-"/>
    </dxf>
    <dxf>
      <numFmt numFmtId="169" formatCode="m/d/yyyy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[$R$-416]\ * #,##0.00_-;\-[$R$-416]\ * #,##0.00_-;_-[$R$-416]\ * &quot;-&quot;??_-;_-@_-"/>
    </dxf>
    <dxf>
      <alignment horizontal="left" vertical="bottom" textRotation="0" wrapText="0" indent="0" justifyLastLine="0" shrinkToFit="0" readingOrder="0"/>
    </dxf>
    <dxf>
      <numFmt numFmtId="169" formatCode="m/d/yyyy"/>
    </dxf>
    <dxf>
      <numFmt numFmtId="169" formatCode="m/d/yyyy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_-[$R$-416]\ * #,##0.00_-;\-[$R$-416]\ * #,##0.00_-;_-[$R$-416]\ * &quot;-&quot;??_-;_-@_-"/>
    </dxf>
    <dxf>
      <numFmt numFmtId="0" formatCode="General"/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h]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h]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</dxf>
    <dxf>
      <numFmt numFmtId="169" formatCode="m/d/yyyy"/>
    </dxf>
    <dxf>
      <numFmt numFmtId="169" formatCode="m/d/yyyy"/>
    </dxf>
    <dxf>
      <numFmt numFmtId="166" formatCode="_-[$R$-416]\ * #,##0.00_-;\-[$R$-416]\ * #,##0.00_-;_-[$R$-416]\ * &quot;-&quot;??_-;_-@_-"/>
    </dxf>
    <dxf>
      <numFmt numFmtId="166" formatCode="_-[$R$-416]\ * #,##0.00_-;\-[$R$-416]\ * #,##0.00_-;_-[$R$-416]\ * &quot;-&quot;??_-;_-@_-"/>
    </dxf>
    <dxf>
      <numFmt numFmtId="16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_-[$R$-416]\ * #,##0.00_-;\-[$R$-416]\ * #,##0.00_-;_-[$R$-416]\ * &quot;-&quot;??_-;_-@_-"/>
    </dxf>
    <dxf>
      <numFmt numFmtId="168" formatCode="_(* #,##0.00_);_(* \(#,##0.00\);_(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8" formatCode="_(* #,##0.00_);_(* \(#,##0.00\);_(* &quot;-&quot;??_);_(@_)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Estilo de Tabela 2" pivot="0" count="4" xr9:uid="{00000000-0011-0000-FFFF-FFFF00000000}">
      <tableStyleElement type="wholeTable" dxfId="137"/>
      <tableStyleElement type="headerRow" dxfId="136"/>
      <tableStyleElement type="totalRow" dxfId="135"/>
      <tableStyleElement type="firstRowStripe" dxfId="1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5.xml"/><Relationship Id="rId42" Type="http://schemas.microsoft.com/office/2007/relationships/slicerCache" Target="slicerCaches/slicerCache13.xml"/><Relationship Id="rId47" Type="http://schemas.microsoft.com/office/2007/relationships/slicerCache" Target="slicerCaches/slicerCache18.xml"/><Relationship Id="rId50" Type="http://schemas.microsoft.com/office/2007/relationships/slicerCache" Target="slicerCaches/slicerCache21.xml"/><Relationship Id="rId55" Type="http://schemas.microsoft.com/office/2007/relationships/slicerCache" Target="slicerCaches/slicerCache26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7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7/relationships/slicerCache" Target="slicerCaches/slicerCache3.xml"/><Relationship Id="rId37" Type="http://schemas.microsoft.com/office/2007/relationships/slicerCache" Target="slicerCaches/slicerCache8.xml"/><Relationship Id="rId40" Type="http://schemas.microsoft.com/office/2007/relationships/slicerCache" Target="slicerCaches/slicerCache11.xml"/><Relationship Id="rId45" Type="http://schemas.microsoft.com/office/2007/relationships/slicerCache" Target="slicerCaches/slicerCache16.xml"/><Relationship Id="rId53" Type="http://schemas.microsoft.com/office/2007/relationships/slicerCache" Target="slicerCaches/slicerCache24.xml"/><Relationship Id="rId58" Type="http://schemas.microsoft.com/office/2007/relationships/slicerCache" Target="slicerCaches/slicerCache29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microsoft.com/office/2007/relationships/slicerCache" Target="slicerCaches/slicerCache3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microsoft.com/office/2007/relationships/slicerCache" Target="slicerCaches/slicerCache1.xml"/><Relationship Id="rId35" Type="http://schemas.microsoft.com/office/2007/relationships/slicerCache" Target="slicerCaches/slicerCache6.xml"/><Relationship Id="rId43" Type="http://schemas.microsoft.com/office/2007/relationships/slicerCache" Target="slicerCaches/slicerCache14.xml"/><Relationship Id="rId48" Type="http://schemas.microsoft.com/office/2007/relationships/slicerCache" Target="slicerCaches/slicerCache19.xml"/><Relationship Id="rId56" Type="http://schemas.microsoft.com/office/2007/relationships/slicerCache" Target="slicerCaches/slicerCache27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microsoft.com/office/2007/relationships/slicerCache" Target="slicerCaches/slicerCache4.xml"/><Relationship Id="rId38" Type="http://schemas.microsoft.com/office/2007/relationships/slicerCache" Target="slicerCaches/slicerCache9.xml"/><Relationship Id="rId46" Type="http://schemas.microsoft.com/office/2007/relationships/slicerCache" Target="slicerCaches/slicerCache17.xml"/><Relationship Id="rId59" Type="http://schemas.microsoft.com/office/2007/relationships/slicerCache" Target="slicerCaches/slicerCache30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07/relationships/slicerCache" Target="slicerCaches/slicerCache12.xml"/><Relationship Id="rId54" Type="http://schemas.microsoft.com/office/2007/relationships/slicerCache" Target="slicerCaches/slicerCache25.xml"/><Relationship Id="rId62" Type="http://schemas.microsoft.com/office/2007/relationships/slicerCache" Target="slicerCaches/slicerCache3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7/relationships/slicerCache" Target="slicerCaches/slicerCache7.xml"/><Relationship Id="rId49" Type="http://schemas.microsoft.com/office/2007/relationships/slicerCache" Target="slicerCaches/slicerCache20.xml"/><Relationship Id="rId57" Type="http://schemas.microsoft.com/office/2007/relationships/slicerCache" Target="slicerCaches/slicerCache28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2.xml"/><Relationship Id="rId44" Type="http://schemas.microsoft.com/office/2007/relationships/slicerCache" Target="slicerCaches/slicerCache15.xml"/><Relationship Id="rId52" Type="http://schemas.microsoft.com/office/2007/relationships/slicerCache" Target="slicerCaches/slicerCache23.xml"/><Relationship Id="rId60" Type="http://schemas.microsoft.com/office/2007/relationships/slicerCache" Target="slicerCaches/slicerCache31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1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[KPI_ENGENHARIA.xlsm]DATASHOBOARD!Tabela dinâmica1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FATURAMENTOS</a:t>
            </a:r>
            <a:r>
              <a:rPr lang="pt-BR" baseline="0"/>
              <a:t> PERIODO</a:t>
            </a:r>
            <a:endParaRPr lang="pt-BR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DATASHOBOARD!$C$1:$C$2</c:f>
              <c:strCache>
                <c:ptCount val="1"/>
                <c:pt idx="0">
                  <c:v>#N/A</c:v>
                </c:pt>
              </c:strCache>
            </c:strRef>
          </c:tx>
          <c:invertIfNegative val="0"/>
          <c:cat>
            <c:multiLvlStrRef>
              <c:f>DATASHOBOARD!$A$3:$B$5</c:f>
              <c:multiLvlStrCache>
                <c:ptCount val="1"/>
                <c:lvl>
                  <c:pt idx="0">
                    <c:v>1900</c:v>
                  </c:pt>
                </c:lvl>
                <c:lvl>
                  <c:pt idx="0">
                    <c:v>--</c:v>
                  </c:pt>
                </c:lvl>
              </c:multiLvlStrCache>
            </c:multiLvlStrRef>
          </c:cat>
          <c:val>
            <c:numRef>
              <c:f>DATASHOBOARD!$C$3:$C$5</c:f>
              <c:numCache>
                <c:formatCode>_("R$"* #,##0.00_);_("R$"* \(#,##0.00\);_("R$"* "-"??_);_(@_)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6-4B76-9963-CECCD534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035904"/>
        <c:axId val="173037440"/>
      </c:barChart>
      <c:catAx>
        <c:axId val="173035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3037440"/>
        <c:crosses val="autoZero"/>
        <c:auto val="1"/>
        <c:lblAlgn val="ctr"/>
        <c:lblOffset val="100"/>
        <c:noMultiLvlLbl val="0"/>
      </c:catAx>
      <c:valAx>
        <c:axId val="173037440"/>
        <c:scaling>
          <c:orientation val="minMax"/>
        </c:scaling>
        <c:delete val="0"/>
        <c:axPos val="l"/>
        <c:majorGridlines/>
        <c:title>
          <c:overlay val="0"/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3035904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pt-BR"/>
          </a:p>
        </c:txPr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[KPI_ENGENHARIA.xlsm]DATASHOBOARD!Tabela dinâmica5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FATURAMENTO</a:t>
            </a:r>
            <a:r>
              <a:rPr lang="pt-BR" baseline="0"/>
              <a:t> POR TIPO</a:t>
            </a:r>
            <a:endParaRPr lang="pt-BR"/>
          </a:p>
        </c:rich>
      </c:tx>
      <c:layout>
        <c:manualLayout>
          <c:xMode val="edge"/>
          <c:yMode val="edge"/>
          <c:x val="0.3603298272681319"/>
          <c:y val="1.4072278885436286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DATASHOBOARD!$AF$4:$AF$5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DATASHOBOARD!$AE$6:$AE$8</c:f>
              <c:multiLvlStrCache>
                <c:ptCount val="1"/>
                <c:lvl>
                  <c:pt idx="0">
                    <c:v>1900</c:v>
                  </c:pt>
                </c:lvl>
                <c:lvl>
                  <c:pt idx="0">
                    <c:v>--</c:v>
                  </c:pt>
                </c:lvl>
              </c:multiLvlStrCache>
            </c:multiLvlStrRef>
          </c:cat>
          <c:val>
            <c:numRef>
              <c:f>DATASHOBOARD!$AF$6:$AF$8</c:f>
              <c:numCache>
                <c:formatCode>_("R$"* #,##0.00_);_("R$"* \(#,##0.00\);_("R$"* "-"??_);_(@_)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2-40AD-868B-283A7DD2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076480"/>
        <c:axId val="173078016"/>
      </c:barChart>
      <c:catAx>
        <c:axId val="1730764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3078016"/>
        <c:crosses val="autoZero"/>
        <c:auto val="1"/>
        <c:lblAlgn val="ctr"/>
        <c:lblOffset val="100"/>
        <c:noMultiLvlLbl val="0"/>
      </c:catAx>
      <c:valAx>
        <c:axId val="173078016"/>
        <c:scaling>
          <c:orientation val="minMax"/>
        </c:scaling>
        <c:delete val="0"/>
        <c:axPos val="l"/>
        <c:majorGridlines/>
        <c:title>
          <c:overlay val="0"/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30764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[KPI_ENGENHARIA.xlsm]DATASHOBOARD!Tabela dinâmica4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DATASHOBOARD!$U$3:$U$4</c:f>
              <c:strCache>
                <c:ptCount val="1"/>
                <c:pt idx="0">
                  <c:v>1900</c:v>
                </c:pt>
              </c:strCache>
            </c:strRef>
          </c:tx>
          <c:invertIfNegative val="0"/>
          <c:cat>
            <c:strRef>
              <c:f>DATASHOBOARD!$T$5:$T$6</c:f>
              <c:strCache>
                <c:ptCount val="1"/>
                <c:pt idx="0">
                  <c:v>#N/A</c:v>
                </c:pt>
              </c:strCache>
            </c:strRef>
          </c:cat>
          <c:val>
            <c:numRef>
              <c:f>DATASHOBOARD!$U$5:$U$6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A-478B-B789-76A0528C9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683328"/>
        <c:axId val="203684864"/>
      </c:barChart>
      <c:catAx>
        <c:axId val="20368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3684864"/>
        <c:crosses val="autoZero"/>
        <c:auto val="1"/>
        <c:lblAlgn val="ctr"/>
        <c:lblOffset val="100"/>
        <c:noMultiLvlLbl val="0"/>
      </c:catAx>
      <c:valAx>
        <c:axId val="20368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683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GBox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</xdr:colOff>
      <xdr:row>6</xdr:row>
      <xdr:rowOff>62753</xdr:rowOff>
    </xdr:from>
    <xdr:to>
      <xdr:col>5</xdr:col>
      <xdr:colOff>829236</xdr:colOff>
      <xdr:row>50</xdr:row>
      <xdr:rowOff>96371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7929" y="1272988"/>
          <a:ext cx="6772836" cy="8415618"/>
        </a:xfrm>
        <a:prstGeom prst="rect">
          <a:avLst/>
        </a:prstGeom>
        <a:solidFill>
          <a:sysClr val="window" lastClr="FFFFFF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885264</xdr:colOff>
      <xdr:row>6</xdr:row>
      <xdr:rowOff>67235</xdr:rowOff>
    </xdr:from>
    <xdr:to>
      <xdr:col>16</xdr:col>
      <xdr:colOff>773205</xdr:colOff>
      <xdr:row>50</xdr:row>
      <xdr:rowOff>100853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846793" y="1277470"/>
          <a:ext cx="8650941" cy="8415618"/>
        </a:xfrm>
        <a:prstGeom prst="rect">
          <a:avLst/>
        </a:prstGeom>
        <a:solidFill>
          <a:sysClr val="window" lastClr="FFFFFF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3</xdr:row>
          <xdr:rowOff>121920</xdr:rowOff>
        </xdr:from>
        <xdr:to>
          <xdr:col>11</xdr:col>
          <xdr:colOff>1607820</xdr:colOff>
          <xdr:row>5</xdr:row>
          <xdr:rowOff>22860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683559</xdr:colOff>
          <xdr:row>0</xdr:row>
          <xdr:rowOff>88527</xdr:rowOff>
        </xdr:from>
        <xdr:to>
          <xdr:col>15</xdr:col>
          <xdr:colOff>235323</xdr:colOff>
          <xdr:row>2</xdr:row>
          <xdr:rowOff>112620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221441" y="88527"/>
              <a:ext cx="12720917" cy="382681"/>
              <a:chOff x="1167093" y="88527"/>
              <a:chExt cx="12071458" cy="405093"/>
            </a:xfrm>
          </xdr:grpSpPr>
          <xdr:sp macro="" textlink="">
            <xdr:nvSpPr>
              <xdr:cNvPr id="26630" name="Button 6" hidden="1">
                <a:extLst>
                  <a:ext uri="{63B3BB69-23CF-44E3-9099-C40C66FF867C}">
                    <a14:compatExt spid="_x0000_s26630"/>
                  </a:ext>
                  <a:ext uri="{FF2B5EF4-FFF2-40B4-BE49-F238E27FC236}">
                    <a16:creationId xmlns:a16="http://schemas.microsoft.com/office/drawing/2014/main" id="{00000000-0008-0000-0000-0000066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26631" name="Button 7" hidden="1">
                <a:extLst>
                  <a:ext uri="{63B3BB69-23CF-44E3-9099-C40C66FF867C}">
                    <a14:compatExt spid="_x0000_s26631"/>
                  </a:ext>
                  <a:ext uri="{FF2B5EF4-FFF2-40B4-BE49-F238E27FC236}">
                    <a16:creationId xmlns:a16="http://schemas.microsoft.com/office/drawing/2014/main" id="{00000000-0008-0000-0000-0000076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6632" name="Button 8" hidden="1">
                <a:extLst>
                  <a:ext uri="{63B3BB69-23CF-44E3-9099-C40C66FF867C}">
                    <a14:compatExt spid="_x0000_s26632"/>
                  </a:ext>
                  <a:ext uri="{FF2B5EF4-FFF2-40B4-BE49-F238E27FC236}">
                    <a16:creationId xmlns:a16="http://schemas.microsoft.com/office/drawing/2014/main" id="{00000000-0008-0000-0000-00000868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OS</a:t>
                </a:r>
              </a:p>
            </xdr:txBody>
          </xdr:sp>
          <xdr:sp macro="" textlink="">
            <xdr:nvSpPr>
              <xdr:cNvPr id="26633" name="Button 9" hidden="1">
                <a:extLst>
                  <a:ext uri="{63B3BB69-23CF-44E3-9099-C40C66FF867C}">
                    <a14:compatExt spid="_x0000_s26633"/>
                  </a:ext>
                  <a:ext uri="{FF2B5EF4-FFF2-40B4-BE49-F238E27FC236}">
                    <a16:creationId xmlns:a16="http://schemas.microsoft.com/office/drawing/2014/main" id="{00000000-0008-0000-0000-0000096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26634" name="Button 10" hidden="1">
                <a:extLst>
                  <a:ext uri="{63B3BB69-23CF-44E3-9099-C40C66FF867C}">
                    <a14:compatExt spid="_x0000_s26634"/>
                  </a:ext>
                  <a:ext uri="{FF2B5EF4-FFF2-40B4-BE49-F238E27FC236}">
                    <a16:creationId xmlns:a16="http://schemas.microsoft.com/office/drawing/2014/main" id="{00000000-0008-0000-0000-00000A68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26635" name="Button 11" hidden="1">
                <a:extLst>
                  <a:ext uri="{63B3BB69-23CF-44E3-9099-C40C66FF867C}">
                    <a14:compatExt spid="_x0000_s26635"/>
                  </a:ext>
                  <a:ext uri="{FF2B5EF4-FFF2-40B4-BE49-F238E27FC236}">
                    <a16:creationId xmlns:a16="http://schemas.microsoft.com/office/drawing/2014/main" id="{00000000-0008-0000-0000-00000B6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26636" name="Button 12" hidden="1">
                <a:extLst>
                  <a:ext uri="{63B3BB69-23CF-44E3-9099-C40C66FF867C}">
                    <a14:compatExt spid="_x0000_s26636"/>
                  </a:ext>
                  <a:ext uri="{FF2B5EF4-FFF2-40B4-BE49-F238E27FC236}">
                    <a16:creationId xmlns:a16="http://schemas.microsoft.com/office/drawing/2014/main" id="{00000000-0008-0000-0000-00000C6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26638" name="Button 14" hidden="1">
                <a:extLst>
                  <a:ext uri="{63B3BB69-23CF-44E3-9099-C40C66FF867C}">
                    <a14:compatExt spid="_x0000_s26638"/>
                  </a:ext>
                  <a:ext uri="{FF2B5EF4-FFF2-40B4-BE49-F238E27FC236}">
                    <a16:creationId xmlns:a16="http://schemas.microsoft.com/office/drawing/2014/main" id="{00000000-0008-0000-0000-00000E680000}"/>
                  </a:ext>
                </a:extLst>
              </xdr:cNvPr>
              <xdr:cNvSpPr/>
            </xdr:nvSpPr>
            <xdr:spPr bwMode="auto">
              <a:xfrm>
                <a:off x="8568956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26639" name="Button 15" hidden="1">
                <a:extLst>
                  <a:ext uri="{63B3BB69-23CF-44E3-9099-C40C66FF867C}">
                    <a14:compatExt spid="_x0000_s26639"/>
                  </a:ext>
                  <a:ext uri="{FF2B5EF4-FFF2-40B4-BE49-F238E27FC236}">
                    <a16:creationId xmlns:a16="http://schemas.microsoft.com/office/drawing/2014/main" id="{00000000-0008-0000-0000-00000F680000}"/>
                  </a:ext>
                </a:extLst>
              </xdr:cNvPr>
              <xdr:cNvSpPr/>
            </xdr:nvSpPr>
            <xdr:spPr bwMode="auto">
              <a:xfrm>
                <a:off x="9742316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26640" name="Button 16" hidden="1">
                <a:extLst>
                  <a:ext uri="{63B3BB69-23CF-44E3-9099-C40C66FF867C}">
                    <a14:compatExt spid="_x0000_s26640"/>
                  </a:ext>
                  <a:ext uri="{FF2B5EF4-FFF2-40B4-BE49-F238E27FC236}">
                    <a16:creationId xmlns:a16="http://schemas.microsoft.com/office/drawing/2014/main" id="{00000000-0008-0000-0000-000010680000}"/>
                  </a:ext>
                </a:extLst>
              </xdr:cNvPr>
              <xdr:cNvSpPr/>
            </xdr:nvSpPr>
            <xdr:spPr bwMode="auto">
              <a:xfrm>
                <a:off x="1091333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6641" name="Button 17" hidden="1">
                <a:extLst>
                  <a:ext uri="{63B3BB69-23CF-44E3-9099-C40C66FF867C}">
                    <a14:compatExt spid="_x0000_s26641"/>
                  </a:ext>
                  <a:ext uri="{FF2B5EF4-FFF2-40B4-BE49-F238E27FC236}">
                    <a16:creationId xmlns:a16="http://schemas.microsoft.com/office/drawing/2014/main" id="{00000000-0008-0000-0000-000011680000}"/>
                  </a:ext>
                </a:extLst>
              </xdr:cNvPr>
              <xdr:cNvSpPr/>
            </xdr:nvSpPr>
            <xdr:spPr bwMode="auto">
              <a:xfrm>
                <a:off x="12101154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85724</xdr:colOff>
          <xdr:row>4</xdr:row>
          <xdr:rowOff>56029</xdr:rowOff>
        </xdr:from>
        <xdr:to>
          <xdr:col>2</xdr:col>
          <xdr:colOff>481853</xdr:colOff>
          <xdr:row>5</xdr:row>
          <xdr:rowOff>52240</xdr:rowOff>
        </xdr:to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85724" y="907676"/>
              <a:ext cx="3363447" cy="211364"/>
              <a:chOff x="85724" y="819014"/>
              <a:chExt cx="3615017" cy="353811"/>
            </a:xfrm>
          </xdr:grpSpPr>
          <xdr:sp macro="" textlink="">
            <xdr:nvSpPr>
              <xdr:cNvPr id="26644" name="Button 20" hidden="1">
                <a:extLst>
                  <a:ext uri="{63B3BB69-23CF-44E3-9099-C40C66FF867C}">
                    <a14:compatExt spid="_x0000_s26644"/>
                  </a:ext>
                  <a:ext uri="{FF2B5EF4-FFF2-40B4-BE49-F238E27FC236}">
                    <a16:creationId xmlns:a16="http://schemas.microsoft.com/office/drawing/2014/main" id="{00000000-0008-0000-0000-000014680000}"/>
                  </a:ext>
                </a:extLst>
              </xdr:cNvPr>
              <xdr:cNvSpPr/>
            </xdr:nvSpPr>
            <xdr:spPr bwMode="auto">
              <a:xfrm>
                <a:off x="85724" y="819014"/>
                <a:ext cx="1095076" cy="35381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CALENDARIO</a:t>
                </a:r>
              </a:p>
            </xdr:txBody>
          </xdr:sp>
          <xdr:sp macro="" textlink="">
            <xdr:nvSpPr>
              <xdr:cNvPr id="26645" name="Button 21" hidden="1">
                <a:extLst>
                  <a:ext uri="{63B3BB69-23CF-44E3-9099-C40C66FF867C}">
                    <a14:compatExt spid="_x0000_s26645"/>
                  </a:ext>
                  <a:ext uri="{FF2B5EF4-FFF2-40B4-BE49-F238E27FC236}">
                    <a16:creationId xmlns:a16="http://schemas.microsoft.com/office/drawing/2014/main" id="{00000000-0008-0000-0000-000015680000}"/>
                  </a:ext>
                </a:extLst>
              </xdr:cNvPr>
              <xdr:cNvSpPr/>
            </xdr:nvSpPr>
            <xdr:spPr bwMode="auto">
              <a:xfrm>
                <a:off x="1209194" y="823721"/>
                <a:ext cx="1228836" cy="3444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ATUALIZAR</a:t>
                </a:r>
              </a:p>
            </xdr:txBody>
          </xdr:sp>
          <xdr:sp macro="" textlink="">
            <xdr:nvSpPr>
              <xdr:cNvPr id="26647" name="Button 23" hidden="1">
                <a:extLst>
                  <a:ext uri="{63B3BB69-23CF-44E3-9099-C40C66FF867C}">
                    <a14:compatExt spid="_x0000_s26647"/>
                  </a:ext>
                  <a:ext uri="{FF2B5EF4-FFF2-40B4-BE49-F238E27FC236}">
                    <a16:creationId xmlns:a16="http://schemas.microsoft.com/office/drawing/2014/main" id="{00000000-0008-0000-0000-000017680000}"/>
                  </a:ext>
                </a:extLst>
              </xdr:cNvPr>
              <xdr:cNvSpPr/>
            </xdr:nvSpPr>
            <xdr:spPr bwMode="auto">
              <a:xfrm>
                <a:off x="2469776" y="824192"/>
                <a:ext cx="1230965" cy="34346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SALVAR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0</xdr:col>
      <xdr:colOff>120463</xdr:colOff>
      <xdr:row>6</xdr:row>
      <xdr:rowOff>179294</xdr:rowOff>
    </xdr:from>
    <xdr:to>
      <xdr:col>16</xdr:col>
      <xdr:colOff>717178</xdr:colOff>
      <xdr:row>50</xdr:row>
      <xdr:rowOff>22412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20463" y="1326776"/>
          <a:ext cx="15756033" cy="7732060"/>
          <a:chOff x="30815" y="1288676"/>
          <a:chExt cx="15535627" cy="8449236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aphicFramePr>
            <a:graphicFrameLocks/>
          </xdr:cNvGraphicFramePr>
        </xdr:nvGraphicFramePr>
        <xdr:xfrm>
          <a:off x="30815" y="1288676"/>
          <a:ext cx="6757148" cy="58830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aphicFramePr>
            <a:graphicFrameLocks/>
          </xdr:cNvGraphicFramePr>
        </xdr:nvGraphicFramePr>
        <xdr:xfrm>
          <a:off x="6927635" y="1293078"/>
          <a:ext cx="8638807" cy="5867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MÊS FATURAMENTO 2">
                <a:extLs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GraphicFramePr/>
            </xdr:nvGraphicFramePr>
            <xdr:xfrm>
              <a:off x="67315" y="7252007"/>
              <a:ext cx="6723450" cy="2485905"/>
            </xdr:xfrm>
            <a:graphic>
              <a:graphicData uri="http://schemas.microsoft.com/office/drawing/2010/slicer">
                <sle:slicer xmlns:sle="http://schemas.microsoft.com/office/drawing/2010/slicer" name="MÊS FATURAMENTO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6459" y="7194681"/>
                <a:ext cx="6630670" cy="241996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 FATURAMENTO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aphicFramePr/>
            </xdr:nvGraphicFramePr>
            <xdr:xfrm>
              <a:off x="6938121" y="7235079"/>
              <a:ext cx="8615644" cy="2491628"/>
            </xdr:xfrm>
            <a:graphic>
              <a:graphicData uri="http://schemas.microsoft.com/office/drawing/2010/slicer">
                <sle:slicer xmlns:sle="http://schemas.microsoft.com/office/drawing/2010/slicer" name="MÊS FATURAMENT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932452" y="7178202"/>
                <a:ext cx="8496753" cy="242553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  <xdr:oneCellAnchor>
    <xdr:from>
      <xdr:col>9</xdr:col>
      <xdr:colOff>107577</xdr:colOff>
      <xdr:row>3</xdr:row>
      <xdr:rowOff>125505</xdr:rowOff>
    </xdr:from>
    <xdr:ext cx="1667435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1687481-E904-E17D-3C0D-817FD14D8EC3}"/>
            </a:ext>
          </a:extLst>
        </xdr:cNvPr>
        <xdr:cNvSpPr txBox="1"/>
      </xdr:nvSpPr>
      <xdr:spPr>
        <a:xfrm>
          <a:off x="8355106" y="761999"/>
          <a:ext cx="16674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</a:rPr>
            <a:t>LANÇAMENTOS</a:t>
          </a:r>
          <a:r>
            <a:rPr lang="pt-BR" sz="1100" b="1" baseline="0">
              <a:solidFill>
                <a:schemeClr val="bg1"/>
              </a:solidFill>
            </a:rPr>
            <a:t> &gt;&gt;</a:t>
          </a:r>
          <a:endParaRPr lang="pt-BR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0</xdr:col>
      <xdr:colOff>233083</xdr:colOff>
      <xdr:row>0</xdr:row>
      <xdr:rowOff>143435</xdr:rowOff>
    </xdr:from>
    <xdr:ext cx="851646" cy="37414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2366FBE-9FC3-4347-A9C5-AC2461177392}"/>
            </a:ext>
          </a:extLst>
        </xdr:cNvPr>
        <xdr:cNvSpPr txBox="1"/>
      </xdr:nvSpPr>
      <xdr:spPr>
        <a:xfrm>
          <a:off x="233083" y="143435"/>
          <a:ext cx="8516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</a:rPr>
            <a:t>LOGO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470649</xdr:colOff>
      <xdr:row>5</xdr:row>
      <xdr:rowOff>34177</xdr:rowOff>
    </xdr:from>
    <xdr:ext cx="4997822" cy="374141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61574" y="1205752"/>
          <a:ext cx="4997822" cy="374141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800" b="1" cap="all" spc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>
                <a:reflection blurRad="12700" stA="28000" endPos="45000" dist="1000" dir="5400000" sy="-100000" algn="bl" rotWithShape="0"/>
              </a:effectLst>
            </a:rPr>
            <a:t>Distribuição por</a:t>
          </a:r>
          <a:r>
            <a:rPr lang="pt-BR" sz="1800" b="1" cap="all" spc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>
                <a:reflection blurRad="12700" stA="28000" endPos="45000" dist="1000" dir="5400000" sy="-100000" algn="bl" rotWithShape="0"/>
              </a:effectLst>
            </a:rPr>
            <a:t> EMPRESAS DO GRUPO</a:t>
          </a:r>
          <a:endParaRPr lang="pt-BR" sz="1800" b="1" cap="all" spc="0">
            <a:ln w="9000" cmpd="sng">
              <a:noFill/>
              <a:prstDash val="solid"/>
            </a:ln>
            <a:solidFill>
              <a:sysClr val="windowText" lastClr="00000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  <xdr:twoCellAnchor>
    <xdr:from>
      <xdr:col>1</xdr:col>
      <xdr:colOff>0</xdr:colOff>
      <xdr:row>2</xdr:row>
      <xdr:rowOff>0</xdr:rowOff>
    </xdr:from>
    <xdr:to>
      <xdr:col>4</xdr:col>
      <xdr:colOff>89646</xdr:colOff>
      <xdr:row>2</xdr:row>
      <xdr:rowOff>212912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68088" y="571500"/>
          <a:ext cx="3462617" cy="21291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RESUMO DE</a:t>
          </a:r>
          <a:r>
            <a:rPr lang="pt-BR" sz="1100" b="1" baseline="0">
              <a:solidFill>
                <a:schemeClr val="bg1"/>
              </a:solidFill>
            </a:rPr>
            <a:t> FATURAMENTO ANUAL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1131794</xdr:colOff>
          <xdr:row>0</xdr:row>
          <xdr:rowOff>112059</xdr:rowOff>
        </xdr:from>
        <xdr:to>
          <xdr:col>13</xdr:col>
          <xdr:colOff>504265</xdr:colOff>
          <xdr:row>1</xdr:row>
          <xdr:rowOff>326652</xdr:rowOff>
        </xdr:to>
        <xdr:grpSp>
          <xdr:nvGrpSpPr>
            <xdr:cNvPr id="32" name="Grupo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GrpSpPr/>
          </xdr:nvGrpSpPr>
          <xdr:grpSpPr>
            <a:xfrm>
              <a:off x="1311088" y="112059"/>
              <a:ext cx="11564471" cy="393887"/>
              <a:chOff x="1167093" y="88527"/>
              <a:chExt cx="12075509" cy="405093"/>
            </a:xfrm>
          </xdr:grpSpPr>
          <xdr:sp macro="" textlink="">
            <xdr:nvSpPr>
              <xdr:cNvPr id="14366" name="Button 30" hidden="1">
                <a:extLst>
                  <a:ext uri="{63B3BB69-23CF-44E3-9099-C40C66FF867C}">
                    <a14:compatExt spid="_x0000_s14366"/>
                  </a:ext>
                  <a:ext uri="{FF2B5EF4-FFF2-40B4-BE49-F238E27FC236}">
                    <a16:creationId xmlns:a16="http://schemas.microsoft.com/office/drawing/2014/main" id="{00000000-0008-0000-0100-00001E380000}"/>
                  </a:ext>
                </a:extLst>
              </xdr:cNvPr>
              <xdr:cNvSpPr/>
            </xdr:nvSpPr>
            <xdr:spPr bwMode="auto">
              <a:xfrm>
                <a:off x="1167093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14367" name="Button 31" hidden="1">
                <a:extLst>
                  <a:ext uri="{63B3BB69-23CF-44E3-9099-C40C66FF867C}">
                    <a14:compatExt spid="_x0000_s14367"/>
                  </a:ext>
                  <a:ext uri="{FF2B5EF4-FFF2-40B4-BE49-F238E27FC236}">
                    <a16:creationId xmlns:a16="http://schemas.microsoft.com/office/drawing/2014/main" id="{00000000-0008-0000-0100-00001F380000}"/>
                  </a:ext>
                </a:extLst>
              </xdr:cNvPr>
              <xdr:cNvSpPr/>
            </xdr:nvSpPr>
            <xdr:spPr bwMode="auto">
              <a:xfrm>
                <a:off x="2232636" y="92450"/>
                <a:ext cx="940782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4368" name="Button 32" hidden="1">
                <a:extLst>
                  <a:ext uri="{63B3BB69-23CF-44E3-9099-C40C66FF867C}">
                    <a14:compatExt spid="_x0000_s14368"/>
                  </a:ext>
                  <a:ext uri="{FF2B5EF4-FFF2-40B4-BE49-F238E27FC236}">
                    <a16:creationId xmlns:a16="http://schemas.microsoft.com/office/drawing/2014/main" id="{00000000-0008-0000-0100-000020380000}"/>
                  </a:ext>
                </a:extLst>
              </xdr:cNvPr>
              <xdr:cNvSpPr/>
            </xdr:nvSpPr>
            <xdr:spPr bwMode="auto">
              <a:xfrm>
                <a:off x="3239214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14369" name="Button 33" hidden="1">
                <a:extLst>
                  <a:ext uri="{63B3BB69-23CF-44E3-9099-C40C66FF867C}">
                    <a14:compatExt spid="_x0000_s14369"/>
                  </a:ext>
                  <a:ext uri="{FF2B5EF4-FFF2-40B4-BE49-F238E27FC236}">
                    <a16:creationId xmlns:a16="http://schemas.microsoft.com/office/drawing/2014/main" id="{00000000-0008-0000-0100-000021380000}"/>
                  </a:ext>
                </a:extLst>
              </xdr:cNvPr>
              <xdr:cNvSpPr/>
            </xdr:nvSpPr>
            <xdr:spPr bwMode="auto">
              <a:xfrm>
                <a:off x="4304757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14370" name="Button 34" hidden="1">
                <a:extLst>
                  <a:ext uri="{63B3BB69-23CF-44E3-9099-C40C66FF867C}">
                    <a14:compatExt spid="_x0000_s14370"/>
                  </a:ext>
                  <a:ext uri="{FF2B5EF4-FFF2-40B4-BE49-F238E27FC236}">
                    <a16:creationId xmlns:a16="http://schemas.microsoft.com/office/drawing/2014/main" id="{00000000-0008-0000-0100-000022380000}"/>
                  </a:ext>
                </a:extLst>
              </xdr:cNvPr>
              <xdr:cNvSpPr/>
            </xdr:nvSpPr>
            <xdr:spPr bwMode="auto">
              <a:xfrm>
                <a:off x="5370300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14371" name="Button 35" hidden="1">
                <a:extLst>
                  <a:ext uri="{63B3BB69-23CF-44E3-9099-C40C66FF867C}">
                    <a14:compatExt spid="_x0000_s14371"/>
                  </a:ext>
                  <a:ext uri="{FF2B5EF4-FFF2-40B4-BE49-F238E27FC236}">
                    <a16:creationId xmlns:a16="http://schemas.microsoft.com/office/drawing/2014/main" id="{00000000-0008-0000-0100-000023380000}"/>
                  </a:ext>
                </a:extLst>
              </xdr:cNvPr>
              <xdr:cNvSpPr/>
            </xdr:nvSpPr>
            <xdr:spPr bwMode="auto">
              <a:xfrm>
                <a:off x="6435844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14372" name="Button 36" hidden="1">
                <a:extLst>
                  <a:ext uri="{63B3BB69-23CF-44E3-9099-C40C66FF867C}">
                    <a14:compatExt spid="_x0000_s14372"/>
                  </a:ext>
                  <a:ext uri="{FF2B5EF4-FFF2-40B4-BE49-F238E27FC236}">
                    <a16:creationId xmlns:a16="http://schemas.microsoft.com/office/drawing/2014/main" id="{00000000-0008-0000-0100-000024380000}"/>
                  </a:ext>
                </a:extLst>
              </xdr:cNvPr>
              <xdr:cNvSpPr/>
            </xdr:nvSpPr>
            <xdr:spPr bwMode="auto">
              <a:xfrm>
                <a:off x="7501387" y="92450"/>
                <a:ext cx="999746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14374" name="Button 38" hidden="1">
                <a:extLst>
                  <a:ext uri="{63B3BB69-23CF-44E3-9099-C40C66FF867C}">
                    <a14:compatExt spid="_x0000_s14374"/>
                  </a:ext>
                  <a:ext uri="{FF2B5EF4-FFF2-40B4-BE49-F238E27FC236}">
                    <a16:creationId xmlns:a16="http://schemas.microsoft.com/office/drawing/2014/main" id="{00000000-0008-0000-0100-000026380000}"/>
                  </a:ext>
                </a:extLst>
              </xdr:cNvPr>
              <xdr:cNvSpPr/>
            </xdr:nvSpPr>
            <xdr:spPr bwMode="auto">
              <a:xfrm>
                <a:off x="8573007" y="92450"/>
                <a:ext cx="1125174" cy="401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14375" name="Button 39" hidden="1">
                <a:extLst>
                  <a:ext uri="{63B3BB69-23CF-44E3-9099-C40C66FF867C}">
                    <a14:compatExt spid="_x0000_s14375"/>
                  </a:ext>
                  <a:ext uri="{FF2B5EF4-FFF2-40B4-BE49-F238E27FC236}">
                    <a16:creationId xmlns:a16="http://schemas.microsoft.com/office/drawing/2014/main" id="{00000000-0008-0000-0100-000027380000}"/>
                  </a:ext>
                </a:extLst>
              </xdr:cNvPr>
              <xdr:cNvSpPr/>
            </xdr:nvSpPr>
            <xdr:spPr bwMode="auto">
              <a:xfrm>
                <a:off x="9746366" y="93569"/>
                <a:ext cx="1132356" cy="4000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14376" name="Button 40" hidden="1">
                <a:extLst>
                  <a:ext uri="{63B3BB69-23CF-44E3-9099-C40C66FF867C}">
                    <a14:compatExt spid="_x0000_s14376"/>
                  </a:ext>
                  <a:ext uri="{FF2B5EF4-FFF2-40B4-BE49-F238E27FC236}">
                    <a16:creationId xmlns:a16="http://schemas.microsoft.com/office/drawing/2014/main" id="{00000000-0008-0000-0100-000028380000}"/>
                  </a:ext>
                </a:extLst>
              </xdr:cNvPr>
              <xdr:cNvSpPr/>
            </xdr:nvSpPr>
            <xdr:spPr bwMode="auto">
              <a:xfrm>
                <a:off x="1091738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4377" name="Button 41" hidden="1">
                <a:extLst>
                  <a:ext uri="{63B3BB69-23CF-44E3-9099-C40C66FF867C}">
                    <a14:compatExt spid="_x0000_s14377"/>
                  </a:ext>
                  <a:ext uri="{FF2B5EF4-FFF2-40B4-BE49-F238E27FC236}">
                    <a16:creationId xmlns:a16="http://schemas.microsoft.com/office/drawing/2014/main" id="{00000000-0008-0000-0100-000029380000}"/>
                  </a:ext>
                </a:extLst>
              </xdr:cNvPr>
              <xdr:cNvSpPr/>
            </xdr:nvSpPr>
            <xdr:spPr bwMode="auto">
              <a:xfrm>
                <a:off x="12105205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  <xdr:oneCellAnchor>
    <xdr:from>
      <xdr:col>2</xdr:col>
      <xdr:colOff>201707</xdr:colOff>
      <xdr:row>24</xdr:row>
      <xdr:rowOff>22975</xdr:rowOff>
    </xdr:from>
    <xdr:ext cx="4168587" cy="374141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050678" y="5525063"/>
          <a:ext cx="4168587" cy="374141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800" b="1" cap="all" spc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>
                <a:reflection blurRad="12700" stA="28000" endPos="45000" dist="1000" dir="5400000" sy="-100000" algn="bl" rotWithShape="0"/>
              </a:effectLst>
            </a:rPr>
            <a:t>Distribuição POR SEGMENTAÇÃO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67236</xdr:colOff>
      <xdr:row>1</xdr:row>
      <xdr:rowOff>56030</xdr:rowOff>
    </xdr:from>
    <xdr:to>
      <xdr:col>2</xdr:col>
      <xdr:colOff>1064559</xdr:colOff>
      <xdr:row>1</xdr:row>
      <xdr:rowOff>268942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7236" y="593912"/>
          <a:ext cx="3462617" cy="21291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ORDENS DE </a:t>
          </a:r>
          <a:r>
            <a:rPr lang="pt-BR" sz="1100" b="1" baseline="0">
              <a:solidFill>
                <a:schemeClr val="bg1"/>
              </a:solidFill>
            </a:rPr>
            <a:t> SERVIÇO</a:t>
          </a:r>
          <a:r>
            <a:rPr lang="pt-BR" sz="1100" b="1">
              <a:solidFill>
                <a:schemeClr val="bg1"/>
              </a:solidFill>
            </a:rPr>
            <a:t> (OS)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13</xdr:col>
          <xdr:colOff>33618</xdr:colOff>
          <xdr:row>0</xdr:row>
          <xdr:rowOff>405093</xdr:rowOff>
        </xdr:to>
        <xdr:grpSp>
          <xdr:nvGrpSpPr>
            <xdr:cNvPr id="31" name="Grupo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GrpSpPr/>
          </xdr:nvGrpSpPr>
          <xdr:grpSpPr>
            <a:xfrm>
              <a:off x="2537012" y="0"/>
              <a:ext cx="12548347" cy="405093"/>
              <a:chOff x="1167093" y="88527"/>
              <a:chExt cx="13134975" cy="405093"/>
            </a:xfrm>
          </xdr:grpSpPr>
          <xdr:sp macro="" textlink="">
            <xdr:nvSpPr>
              <xdr:cNvPr id="18464" name="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200-0000204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18465" name="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200-0000214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8466" name="Button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200-00002248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18467" name="Button 35" hidden="1">
                <a:extLst>
                  <a:ext uri="{63B3BB69-23CF-44E3-9099-C40C66FF867C}">
                    <a14:compatExt spid="_x0000_s18467"/>
                  </a:ext>
                  <a:ext uri="{FF2B5EF4-FFF2-40B4-BE49-F238E27FC236}">
                    <a16:creationId xmlns:a16="http://schemas.microsoft.com/office/drawing/2014/main" id="{00000000-0008-0000-0200-0000234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18468" name="Button 36" hidden="1">
                <a:extLst>
                  <a:ext uri="{63B3BB69-23CF-44E3-9099-C40C66FF867C}">
                    <a14:compatExt spid="_x0000_s18468"/>
                  </a:ext>
                  <a:ext uri="{FF2B5EF4-FFF2-40B4-BE49-F238E27FC236}">
                    <a16:creationId xmlns:a16="http://schemas.microsoft.com/office/drawing/2014/main" id="{00000000-0008-0000-0200-00002448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18469" name="Button 37" hidden="1">
                <a:extLst>
                  <a:ext uri="{63B3BB69-23CF-44E3-9099-C40C66FF867C}">
                    <a14:compatExt spid="_x0000_s18469"/>
                  </a:ext>
                  <a:ext uri="{FF2B5EF4-FFF2-40B4-BE49-F238E27FC236}">
                    <a16:creationId xmlns:a16="http://schemas.microsoft.com/office/drawing/2014/main" id="{00000000-0008-0000-0200-0000254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18470" name="Button 38" hidden="1">
                <a:extLst>
                  <a:ext uri="{63B3BB69-23CF-44E3-9099-C40C66FF867C}">
                    <a14:compatExt spid="_x0000_s18470"/>
                  </a:ext>
                  <a:ext uri="{FF2B5EF4-FFF2-40B4-BE49-F238E27FC236}">
                    <a16:creationId xmlns:a16="http://schemas.microsoft.com/office/drawing/2014/main" id="{00000000-0008-0000-0200-0000264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18471" name="Button 39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200-00002748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18472" name="Button 40" hidden="1">
                <a:extLst>
                  <a:ext uri="{63B3BB69-23CF-44E3-9099-C40C66FF867C}">
                    <a14:compatExt spid="_x0000_s18472"/>
                  </a:ext>
                  <a:ext uri="{FF2B5EF4-FFF2-40B4-BE49-F238E27FC236}">
                    <a16:creationId xmlns:a16="http://schemas.microsoft.com/office/drawing/2014/main" id="{00000000-0008-0000-0200-00002848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18473" name="Button 41" hidden="1">
                <a:extLst>
                  <a:ext uri="{63B3BB69-23CF-44E3-9099-C40C66FF867C}">
                    <a14:compatExt spid="_x0000_s18473"/>
                  </a:ext>
                  <a:ext uri="{FF2B5EF4-FFF2-40B4-BE49-F238E27FC236}">
                    <a16:creationId xmlns:a16="http://schemas.microsoft.com/office/drawing/2014/main" id="{00000000-0008-0000-0200-00002948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18474" name="Button 42" hidden="1">
                <a:extLst>
                  <a:ext uri="{63B3BB69-23CF-44E3-9099-C40C66FF867C}">
                    <a14:compatExt spid="_x0000_s18474"/>
                  </a:ext>
                  <a:ext uri="{FF2B5EF4-FFF2-40B4-BE49-F238E27FC236}">
                    <a16:creationId xmlns:a16="http://schemas.microsoft.com/office/drawing/2014/main" id="{00000000-0008-0000-0200-00002A48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8475" name="Button 43" hidden="1">
                <a:extLst>
                  <a:ext uri="{63B3BB69-23CF-44E3-9099-C40C66FF867C}">
                    <a14:compatExt spid="_x0000_s18475"/>
                  </a:ext>
                  <a:ext uri="{FF2B5EF4-FFF2-40B4-BE49-F238E27FC236}">
                    <a16:creationId xmlns:a16="http://schemas.microsoft.com/office/drawing/2014/main" id="{00000000-0008-0000-0200-00002B48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67234</xdr:colOff>
      <xdr:row>1</xdr:row>
      <xdr:rowOff>33618</xdr:rowOff>
    </xdr:from>
    <xdr:to>
      <xdr:col>2</xdr:col>
      <xdr:colOff>321047</xdr:colOff>
      <xdr:row>1</xdr:row>
      <xdr:rowOff>286312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7234" y="582706"/>
          <a:ext cx="3705225" cy="25269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COMPRAS</a:t>
          </a:r>
          <a:r>
            <a:rPr lang="pt-BR" sz="1100" b="1" baseline="0">
              <a:solidFill>
                <a:schemeClr val="bg1"/>
              </a:solidFill>
            </a:rPr>
            <a:t> REALIZADAS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10</xdr:col>
          <xdr:colOff>392207</xdr:colOff>
          <xdr:row>0</xdr:row>
          <xdr:rowOff>405093</xdr:rowOff>
        </xdr:to>
        <xdr:grpSp>
          <xdr:nvGrpSpPr>
            <xdr:cNvPr id="57" name="Grupo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GrpSpPr/>
          </xdr:nvGrpSpPr>
          <xdr:grpSpPr>
            <a:xfrm>
              <a:off x="1030941" y="0"/>
              <a:ext cx="12575242" cy="405093"/>
              <a:chOff x="1167093" y="88527"/>
              <a:chExt cx="13134975" cy="405093"/>
            </a:xfrm>
          </xdr:grpSpPr>
          <xdr:sp macro="" textlink="">
            <xdr:nvSpPr>
              <xdr:cNvPr id="19509" name="Button 53" hidden="1">
                <a:extLst>
                  <a:ext uri="{63B3BB69-23CF-44E3-9099-C40C66FF867C}">
                    <a14:compatExt spid="_x0000_s19509"/>
                  </a:ext>
                  <a:ext uri="{FF2B5EF4-FFF2-40B4-BE49-F238E27FC236}">
                    <a16:creationId xmlns:a16="http://schemas.microsoft.com/office/drawing/2014/main" id="{00000000-0008-0000-0300-0000354C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19510" name="Button 54" hidden="1">
                <a:extLst>
                  <a:ext uri="{63B3BB69-23CF-44E3-9099-C40C66FF867C}">
                    <a14:compatExt spid="_x0000_s19510"/>
                  </a:ext>
                  <a:ext uri="{FF2B5EF4-FFF2-40B4-BE49-F238E27FC236}">
                    <a16:creationId xmlns:a16="http://schemas.microsoft.com/office/drawing/2014/main" id="{00000000-0008-0000-0300-0000364C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9511" name="Button 55" hidden="1">
                <a:extLst>
                  <a:ext uri="{63B3BB69-23CF-44E3-9099-C40C66FF867C}">
                    <a14:compatExt spid="_x0000_s19511"/>
                  </a:ext>
                  <a:ext uri="{FF2B5EF4-FFF2-40B4-BE49-F238E27FC236}">
                    <a16:creationId xmlns:a16="http://schemas.microsoft.com/office/drawing/2014/main" id="{00000000-0008-0000-0300-0000374C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19512" name="Button 56" hidden="1">
                <a:extLst>
                  <a:ext uri="{63B3BB69-23CF-44E3-9099-C40C66FF867C}">
                    <a14:compatExt spid="_x0000_s19512"/>
                  </a:ext>
                  <a:ext uri="{FF2B5EF4-FFF2-40B4-BE49-F238E27FC236}">
                    <a16:creationId xmlns:a16="http://schemas.microsoft.com/office/drawing/2014/main" id="{00000000-0008-0000-0300-0000384C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19513" name="Button 57" hidden="1">
                <a:extLst>
                  <a:ext uri="{63B3BB69-23CF-44E3-9099-C40C66FF867C}">
                    <a14:compatExt spid="_x0000_s19513"/>
                  </a:ext>
                  <a:ext uri="{FF2B5EF4-FFF2-40B4-BE49-F238E27FC236}">
                    <a16:creationId xmlns:a16="http://schemas.microsoft.com/office/drawing/2014/main" id="{00000000-0008-0000-0300-0000394C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19514" name="Button 58" hidden="1">
                <a:extLst>
                  <a:ext uri="{63B3BB69-23CF-44E3-9099-C40C66FF867C}">
                    <a14:compatExt spid="_x0000_s19514"/>
                  </a:ext>
                  <a:ext uri="{FF2B5EF4-FFF2-40B4-BE49-F238E27FC236}">
                    <a16:creationId xmlns:a16="http://schemas.microsoft.com/office/drawing/2014/main" id="{00000000-0008-0000-0300-00003A4C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19515" name="Button 59" hidden="1">
                <a:extLst>
                  <a:ext uri="{63B3BB69-23CF-44E3-9099-C40C66FF867C}">
                    <a14:compatExt spid="_x0000_s19515"/>
                  </a:ext>
                  <a:ext uri="{FF2B5EF4-FFF2-40B4-BE49-F238E27FC236}">
                    <a16:creationId xmlns:a16="http://schemas.microsoft.com/office/drawing/2014/main" id="{00000000-0008-0000-0300-00003B4C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19516" name="Button 60" hidden="1">
                <a:extLst>
                  <a:ext uri="{63B3BB69-23CF-44E3-9099-C40C66FF867C}">
                    <a14:compatExt spid="_x0000_s19516"/>
                  </a:ext>
                  <a:ext uri="{FF2B5EF4-FFF2-40B4-BE49-F238E27FC236}">
                    <a16:creationId xmlns:a16="http://schemas.microsoft.com/office/drawing/2014/main" id="{00000000-0008-0000-0300-00003C4C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19517" name="Button 61" hidden="1">
                <a:extLst>
                  <a:ext uri="{63B3BB69-23CF-44E3-9099-C40C66FF867C}">
                    <a14:compatExt spid="_x0000_s19517"/>
                  </a:ext>
                  <a:ext uri="{FF2B5EF4-FFF2-40B4-BE49-F238E27FC236}">
                    <a16:creationId xmlns:a16="http://schemas.microsoft.com/office/drawing/2014/main" id="{00000000-0008-0000-0300-00003D4C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19518" name="Button 62" hidden="1">
                <a:extLst>
                  <a:ext uri="{63B3BB69-23CF-44E3-9099-C40C66FF867C}">
                    <a14:compatExt spid="_x0000_s19518"/>
                  </a:ext>
                  <a:ext uri="{FF2B5EF4-FFF2-40B4-BE49-F238E27FC236}">
                    <a16:creationId xmlns:a16="http://schemas.microsoft.com/office/drawing/2014/main" id="{00000000-0008-0000-0300-00003E4C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19519" name="Button 63" hidden="1">
                <a:extLst>
                  <a:ext uri="{63B3BB69-23CF-44E3-9099-C40C66FF867C}">
                    <a14:compatExt spid="_x0000_s19519"/>
                  </a:ext>
                  <a:ext uri="{FF2B5EF4-FFF2-40B4-BE49-F238E27FC236}">
                    <a16:creationId xmlns:a16="http://schemas.microsoft.com/office/drawing/2014/main" id="{00000000-0008-0000-0300-00003F4C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9520" name="Button 64" hidden="1">
                <a:extLst>
                  <a:ext uri="{63B3BB69-23CF-44E3-9099-C40C66FF867C}">
                    <a14:compatExt spid="_x0000_s19520"/>
                  </a:ext>
                  <a:ext uri="{FF2B5EF4-FFF2-40B4-BE49-F238E27FC236}">
                    <a16:creationId xmlns:a16="http://schemas.microsoft.com/office/drawing/2014/main" id="{00000000-0008-0000-0300-0000404C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56030</xdr:colOff>
      <xdr:row>1</xdr:row>
      <xdr:rowOff>33617</xdr:rowOff>
    </xdr:from>
    <xdr:to>
      <xdr:col>3</xdr:col>
      <xdr:colOff>235323</xdr:colOff>
      <xdr:row>1</xdr:row>
      <xdr:rowOff>293033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030" y="717176"/>
          <a:ext cx="3148852" cy="25941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 FATURAMENTOS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12</xdr:col>
          <xdr:colOff>1277471</xdr:colOff>
          <xdr:row>0</xdr:row>
          <xdr:rowOff>405093</xdr:rowOff>
        </xdr:to>
        <xdr:grpSp>
          <xdr:nvGrpSpPr>
            <xdr:cNvPr id="44" name="Grup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GrpSpPr/>
          </xdr:nvGrpSpPr>
          <xdr:grpSpPr>
            <a:xfrm>
              <a:off x="1775012" y="0"/>
              <a:ext cx="12528177" cy="405093"/>
              <a:chOff x="1167093" y="88527"/>
              <a:chExt cx="13134975" cy="405093"/>
            </a:xfrm>
          </xdr:grpSpPr>
          <xdr:sp macro="" textlink="">
            <xdr:nvSpPr>
              <xdr:cNvPr id="20520" name="Button 40" hidden="1">
                <a:extLst>
                  <a:ext uri="{63B3BB69-23CF-44E3-9099-C40C66FF867C}">
                    <a14:compatExt spid="_x0000_s20520"/>
                  </a:ext>
                  <a:ext uri="{FF2B5EF4-FFF2-40B4-BE49-F238E27FC236}">
                    <a16:creationId xmlns:a16="http://schemas.microsoft.com/office/drawing/2014/main" id="{00000000-0008-0000-0400-00002850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20521" name="Button 41" hidden="1">
                <a:extLst>
                  <a:ext uri="{63B3BB69-23CF-44E3-9099-C40C66FF867C}">
                    <a14:compatExt spid="_x0000_s20521"/>
                  </a:ext>
                  <a:ext uri="{FF2B5EF4-FFF2-40B4-BE49-F238E27FC236}">
                    <a16:creationId xmlns:a16="http://schemas.microsoft.com/office/drawing/2014/main" id="{00000000-0008-0000-0400-00002950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0522" name="Button 42" hidden="1">
                <a:extLst>
                  <a:ext uri="{63B3BB69-23CF-44E3-9099-C40C66FF867C}">
                    <a14:compatExt spid="_x0000_s20522"/>
                  </a:ext>
                  <a:ext uri="{FF2B5EF4-FFF2-40B4-BE49-F238E27FC236}">
                    <a16:creationId xmlns:a16="http://schemas.microsoft.com/office/drawing/2014/main" id="{00000000-0008-0000-0400-00002A50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20523" name="Button 43" hidden="1">
                <a:extLst>
                  <a:ext uri="{63B3BB69-23CF-44E3-9099-C40C66FF867C}">
                    <a14:compatExt spid="_x0000_s20523"/>
                  </a:ext>
                  <a:ext uri="{FF2B5EF4-FFF2-40B4-BE49-F238E27FC236}">
                    <a16:creationId xmlns:a16="http://schemas.microsoft.com/office/drawing/2014/main" id="{00000000-0008-0000-0400-00002B50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20524" name="Button 44" hidden="1">
                <a:extLst>
                  <a:ext uri="{63B3BB69-23CF-44E3-9099-C40C66FF867C}">
                    <a14:compatExt spid="_x0000_s20524"/>
                  </a:ext>
                  <a:ext uri="{FF2B5EF4-FFF2-40B4-BE49-F238E27FC236}">
                    <a16:creationId xmlns:a16="http://schemas.microsoft.com/office/drawing/2014/main" id="{00000000-0008-0000-0400-00002C50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20525" name="Button 45" hidden="1">
                <a:extLst>
                  <a:ext uri="{63B3BB69-23CF-44E3-9099-C40C66FF867C}">
                    <a14:compatExt spid="_x0000_s20525"/>
                  </a:ext>
                  <a:ext uri="{FF2B5EF4-FFF2-40B4-BE49-F238E27FC236}">
                    <a16:creationId xmlns:a16="http://schemas.microsoft.com/office/drawing/2014/main" id="{00000000-0008-0000-0400-00002D50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20526" name="Button 46" hidden="1">
                <a:extLst>
                  <a:ext uri="{63B3BB69-23CF-44E3-9099-C40C66FF867C}">
                    <a14:compatExt spid="_x0000_s20526"/>
                  </a:ext>
                  <a:ext uri="{FF2B5EF4-FFF2-40B4-BE49-F238E27FC236}">
                    <a16:creationId xmlns:a16="http://schemas.microsoft.com/office/drawing/2014/main" id="{00000000-0008-0000-0400-00002E50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20527" name="Button 47" hidden="1">
                <a:extLst>
                  <a:ext uri="{63B3BB69-23CF-44E3-9099-C40C66FF867C}">
                    <a14:compatExt spid="_x0000_s20527"/>
                  </a:ext>
                  <a:ext uri="{FF2B5EF4-FFF2-40B4-BE49-F238E27FC236}">
                    <a16:creationId xmlns:a16="http://schemas.microsoft.com/office/drawing/2014/main" id="{00000000-0008-0000-0400-00002F50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20528" name="Button 48" hidden="1">
                <a:extLst>
                  <a:ext uri="{63B3BB69-23CF-44E3-9099-C40C66FF867C}">
                    <a14:compatExt spid="_x0000_s20528"/>
                  </a:ext>
                  <a:ext uri="{FF2B5EF4-FFF2-40B4-BE49-F238E27FC236}">
                    <a16:creationId xmlns:a16="http://schemas.microsoft.com/office/drawing/2014/main" id="{00000000-0008-0000-0400-00003050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20529" name="Button 49" hidden="1">
                <a:extLst>
                  <a:ext uri="{63B3BB69-23CF-44E3-9099-C40C66FF867C}">
                    <a14:compatExt spid="_x0000_s20529"/>
                  </a:ext>
                  <a:ext uri="{FF2B5EF4-FFF2-40B4-BE49-F238E27FC236}">
                    <a16:creationId xmlns:a16="http://schemas.microsoft.com/office/drawing/2014/main" id="{00000000-0008-0000-0400-00003150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20530" name="Button 50" hidden="1">
                <a:extLst>
                  <a:ext uri="{63B3BB69-23CF-44E3-9099-C40C66FF867C}">
                    <a14:compatExt spid="_x0000_s20530"/>
                  </a:ext>
                  <a:ext uri="{FF2B5EF4-FFF2-40B4-BE49-F238E27FC236}">
                    <a16:creationId xmlns:a16="http://schemas.microsoft.com/office/drawing/2014/main" id="{00000000-0008-0000-0400-000032500000}"/>
                  </a:ext>
                </a:extLst>
              </xdr:cNvPr>
              <xdr:cNvSpPr/>
            </xdr:nvSpPr>
            <xdr:spPr bwMode="auto">
              <a:xfrm>
                <a:off x="11976848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0531" name="Button 51" hidden="1">
                <a:extLst>
                  <a:ext uri="{63B3BB69-23CF-44E3-9099-C40C66FF867C}">
                    <a14:compatExt spid="_x0000_s20531"/>
                  </a:ext>
                  <a:ext uri="{FF2B5EF4-FFF2-40B4-BE49-F238E27FC236}">
                    <a16:creationId xmlns:a16="http://schemas.microsoft.com/office/drawing/2014/main" id="{00000000-0008-0000-0400-00003350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33616</xdr:colOff>
      <xdr:row>1</xdr:row>
      <xdr:rowOff>2</xdr:rowOff>
    </xdr:from>
    <xdr:to>
      <xdr:col>4</xdr:col>
      <xdr:colOff>493059</xdr:colOff>
      <xdr:row>2</xdr:row>
      <xdr:rowOff>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33616" y="526678"/>
          <a:ext cx="3081619" cy="29135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 HORAS TRABALHADAS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392205</xdr:colOff>
          <xdr:row>0</xdr:row>
          <xdr:rowOff>33618</xdr:rowOff>
        </xdr:from>
        <xdr:to>
          <xdr:col>13</xdr:col>
          <xdr:colOff>1467971</xdr:colOff>
          <xdr:row>0</xdr:row>
          <xdr:rowOff>438711</xdr:rowOff>
        </xdr:to>
        <xdr:grpSp>
          <xdr:nvGrpSpPr>
            <xdr:cNvPr id="31" name="Grupo 30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GrpSpPr/>
          </xdr:nvGrpSpPr>
          <xdr:grpSpPr>
            <a:xfrm>
              <a:off x="1010770" y="33618"/>
              <a:ext cx="13339483" cy="405093"/>
              <a:chOff x="1167093" y="88527"/>
              <a:chExt cx="13134978" cy="405093"/>
            </a:xfrm>
          </xdr:grpSpPr>
          <xdr:sp macro="" textlink="">
            <xdr:nvSpPr>
              <xdr:cNvPr id="17440" name="Button 32" hidden="1">
                <a:extLst>
                  <a:ext uri="{63B3BB69-23CF-44E3-9099-C40C66FF867C}">
                    <a14:compatExt spid="_x0000_s17440"/>
                  </a:ext>
                  <a:ext uri="{FF2B5EF4-FFF2-40B4-BE49-F238E27FC236}">
                    <a16:creationId xmlns:a16="http://schemas.microsoft.com/office/drawing/2014/main" id="{00000000-0008-0000-0500-00002044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17441" name="Button 33" hidden="1">
                <a:extLst>
                  <a:ext uri="{63B3BB69-23CF-44E3-9099-C40C66FF867C}">
                    <a14:compatExt spid="_x0000_s17441"/>
                  </a:ext>
                  <a:ext uri="{FF2B5EF4-FFF2-40B4-BE49-F238E27FC236}">
                    <a16:creationId xmlns:a16="http://schemas.microsoft.com/office/drawing/2014/main" id="{00000000-0008-0000-0500-00002144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7442" name="Button 34" hidden="1">
                <a:extLst>
                  <a:ext uri="{63B3BB69-23CF-44E3-9099-C40C66FF867C}">
                    <a14:compatExt spid="_x0000_s17442"/>
                  </a:ext>
                  <a:ext uri="{FF2B5EF4-FFF2-40B4-BE49-F238E27FC236}">
                    <a16:creationId xmlns:a16="http://schemas.microsoft.com/office/drawing/2014/main" id="{00000000-0008-0000-0500-00002244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17443" name="Button 35" hidden="1">
                <a:extLst>
                  <a:ext uri="{63B3BB69-23CF-44E3-9099-C40C66FF867C}">
                    <a14:compatExt spid="_x0000_s17443"/>
                  </a:ext>
                  <a:ext uri="{FF2B5EF4-FFF2-40B4-BE49-F238E27FC236}">
                    <a16:creationId xmlns:a16="http://schemas.microsoft.com/office/drawing/2014/main" id="{00000000-0008-0000-0500-00002344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17444" name="Button 36" hidden="1">
                <a:extLst>
                  <a:ext uri="{63B3BB69-23CF-44E3-9099-C40C66FF867C}">
                    <a14:compatExt spid="_x0000_s17444"/>
                  </a:ext>
                  <a:ext uri="{FF2B5EF4-FFF2-40B4-BE49-F238E27FC236}">
                    <a16:creationId xmlns:a16="http://schemas.microsoft.com/office/drawing/2014/main" id="{00000000-0008-0000-0500-00002444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17445" name="Button 37" hidden="1">
                <a:extLst>
                  <a:ext uri="{63B3BB69-23CF-44E3-9099-C40C66FF867C}">
                    <a14:compatExt spid="_x0000_s17445"/>
                  </a:ext>
                  <a:ext uri="{FF2B5EF4-FFF2-40B4-BE49-F238E27FC236}">
                    <a16:creationId xmlns:a16="http://schemas.microsoft.com/office/drawing/2014/main" id="{00000000-0008-0000-0500-00002544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17446" name="Button 38" hidden="1">
                <a:extLst>
                  <a:ext uri="{63B3BB69-23CF-44E3-9099-C40C66FF867C}">
                    <a14:compatExt spid="_x0000_s17446"/>
                  </a:ext>
                  <a:ext uri="{FF2B5EF4-FFF2-40B4-BE49-F238E27FC236}">
                    <a16:creationId xmlns:a16="http://schemas.microsoft.com/office/drawing/2014/main" id="{00000000-0008-0000-0500-00002644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17447" name="Button 39" hidden="1">
                <a:extLst>
                  <a:ext uri="{63B3BB69-23CF-44E3-9099-C40C66FF867C}">
                    <a14:compatExt spid="_x0000_s17447"/>
                  </a:ext>
                  <a:ext uri="{FF2B5EF4-FFF2-40B4-BE49-F238E27FC236}">
                    <a16:creationId xmlns:a16="http://schemas.microsoft.com/office/drawing/2014/main" id="{00000000-0008-0000-0500-000027440000}"/>
                  </a:ext>
                </a:extLst>
              </xdr:cNvPr>
              <xdr:cNvSpPr/>
            </xdr:nvSpPr>
            <xdr:spPr bwMode="auto">
              <a:xfrm>
                <a:off x="856693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17448" name="Button 40" hidden="1">
                <a:extLst>
                  <a:ext uri="{63B3BB69-23CF-44E3-9099-C40C66FF867C}">
                    <a14:compatExt spid="_x0000_s17448"/>
                  </a:ext>
                  <a:ext uri="{FF2B5EF4-FFF2-40B4-BE49-F238E27FC236}">
                    <a16:creationId xmlns:a16="http://schemas.microsoft.com/office/drawing/2014/main" id="{00000000-0008-0000-0500-00002844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17449" name="Button 41" hidden="1">
                <a:extLst>
                  <a:ext uri="{63B3BB69-23CF-44E3-9099-C40C66FF867C}">
                    <a14:compatExt spid="_x0000_s17449"/>
                  </a:ext>
                  <a:ext uri="{FF2B5EF4-FFF2-40B4-BE49-F238E27FC236}">
                    <a16:creationId xmlns:a16="http://schemas.microsoft.com/office/drawing/2014/main" id="{00000000-0008-0000-0500-00002944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17450" name="Button 42" hidden="1">
                <a:extLst>
                  <a:ext uri="{63B3BB69-23CF-44E3-9099-C40C66FF867C}">
                    <a14:compatExt spid="_x0000_s17450"/>
                  </a:ext>
                  <a:ext uri="{FF2B5EF4-FFF2-40B4-BE49-F238E27FC236}">
                    <a16:creationId xmlns:a16="http://schemas.microsoft.com/office/drawing/2014/main" id="{00000000-0008-0000-0500-00002A44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17451" name="Button 43" hidden="1">
                <a:extLst>
                  <a:ext uri="{63B3BB69-23CF-44E3-9099-C40C66FF867C}">
                    <a14:compatExt spid="_x0000_s17451"/>
                  </a:ext>
                  <a:ext uri="{FF2B5EF4-FFF2-40B4-BE49-F238E27FC236}">
                    <a16:creationId xmlns:a16="http://schemas.microsoft.com/office/drawing/2014/main" id="{00000000-0008-0000-0500-00002B440000}"/>
                  </a:ext>
                </a:extLst>
              </xdr:cNvPr>
              <xdr:cNvSpPr/>
            </xdr:nvSpPr>
            <xdr:spPr bwMode="auto">
              <a:xfrm>
                <a:off x="13164674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1</xdr:row>
      <xdr:rowOff>11207</xdr:rowOff>
    </xdr:from>
    <xdr:to>
      <xdr:col>4</xdr:col>
      <xdr:colOff>100853</xdr:colOff>
      <xdr:row>1</xdr:row>
      <xdr:rowOff>257735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89647" y="593913"/>
          <a:ext cx="3731559" cy="24652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 DESPESAS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11</xdr:col>
          <xdr:colOff>44824</xdr:colOff>
          <xdr:row>0</xdr:row>
          <xdr:rowOff>405093</xdr:rowOff>
        </xdr:to>
        <xdr:grpSp>
          <xdr:nvGrpSpPr>
            <xdr:cNvPr id="70" name="Grupo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GrpSpPr/>
          </xdr:nvGrpSpPr>
          <xdr:grpSpPr>
            <a:xfrm>
              <a:off x="1631576" y="0"/>
              <a:ext cx="12192001" cy="405093"/>
              <a:chOff x="1167094" y="88527"/>
              <a:chExt cx="13134974" cy="405093"/>
            </a:xfrm>
          </xdr:grpSpPr>
          <xdr:sp macro="" textlink="">
            <xdr:nvSpPr>
              <xdr:cNvPr id="21568" name="Button 64" hidden="1">
                <a:extLst>
                  <a:ext uri="{63B3BB69-23CF-44E3-9099-C40C66FF867C}">
                    <a14:compatExt spid="_x0000_s21568"/>
                  </a:ext>
                  <a:ext uri="{FF2B5EF4-FFF2-40B4-BE49-F238E27FC236}">
                    <a16:creationId xmlns:a16="http://schemas.microsoft.com/office/drawing/2014/main" id="{00000000-0008-0000-0600-000040540000}"/>
                  </a:ext>
                </a:extLst>
              </xdr:cNvPr>
              <xdr:cNvSpPr/>
            </xdr:nvSpPr>
            <xdr:spPr bwMode="auto">
              <a:xfrm>
                <a:off x="116709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21569" name="Button 65" hidden="1">
                <a:extLst>
                  <a:ext uri="{63B3BB69-23CF-44E3-9099-C40C66FF867C}">
                    <a14:compatExt spid="_x0000_s21569"/>
                  </a:ext>
                  <a:ext uri="{FF2B5EF4-FFF2-40B4-BE49-F238E27FC236}">
                    <a16:creationId xmlns:a16="http://schemas.microsoft.com/office/drawing/2014/main" id="{00000000-0008-0000-0600-00004154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1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1570" name="Button 66" hidden="1">
                <a:extLst>
                  <a:ext uri="{63B3BB69-23CF-44E3-9099-C40C66FF867C}">
                    <a14:compatExt spid="_x0000_s21570"/>
                  </a:ext>
                  <a:ext uri="{FF2B5EF4-FFF2-40B4-BE49-F238E27FC236}">
                    <a16:creationId xmlns:a16="http://schemas.microsoft.com/office/drawing/2014/main" id="{00000000-0008-0000-0600-00004254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21571" name="Button 67" hidden="1">
                <a:extLst>
                  <a:ext uri="{63B3BB69-23CF-44E3-9099-C40C66FF867C}">
                    <a14:compatExt spid="_x0000_s21571"/>
                  </a:ext>
                  <a:ext uri="{FF2B5EF4-FFF2-40B4-BE49-F238E27FC236}">
                    <a16:creationId xmlns:a16="http://schemas.microsoft.com/office/drawing/2014/main" id="{00000000-0008-0000-0600-00004354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21572" name="Button 68" hidden="1">
                <a:extLst>
                  <a:ext uri="{63B3BB69-23CF-44E3-9099-C40C66FF867C}">
                    <a14:compatExt spid="_x0000_s21572"/>
                  </a:ext>
                  <a:ext uri="{FF2B5EF4-FFF2-40B4-BE49-F238E27FC236}">
                    <a16:creationId xmlns:a16="http://schemas.microsoft.com/office/drawing/2014/main" id="{00000000-0008-0000-0600-00004454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21573" name="Button 69" hidden="1">
                <a:extLst>
                  <a:ext uri="{63B3BB69-23CF-44E3-9099-C40C66FF867C}">
                    <a14:compatExt spid="_x0000_s21573"/>
                  </a:ext>
                  <a:ext uri="{FF2B5EF4-FFF2-40B4-BE49-F238E27FC236}">
                    <a16:creationId xmlns:a16="http://schemas.microsoft.com/office/drawing/2014/main" id="{00000000-0008-0000-0600-00004554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21574" name="Button 70" hidden="1">
                <a:extLst>
                  <a:ext uri="{63B3BB69-23CF-44E3-9099-C40C66FF867C}">
                    <a14:compatExt spid="_x0000_s21574"/>
                  </a:ext>
                  <a:ext uri="{FF2B5EF4-FFF2-40B4-BE49-F238E27FC236}">
                    <a16:creationId xmlns:a16="http://schemas.microsoft.com/office/drawing/2014/main" id="{00000000-0008-0000-0600-00004654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21575" name="Button 71" hidden="1">
                <a:extLst>
                  <a:ext uri="{63B3BB69-23CF-44E3-9099-C40C66FF867C}">
                    <a14:compatExt spid="_x0000_s21575"/>
                  </a:ext>
                  <a:ext uri="{FF2B5EF4-FFF2-40B4-BE49-F238E27FC236}">
                    <a16:creationId xmlns:a16="http://schemas.microsoft.com/office/drawing/2014/main" id="{00000000-0008-0000-0600-000047540000}"/>
                  </a:ext>
                </a:extLst>
              </xdr:cNvPr>
              <xdr:cNvSpPr/>
            </xdr:nvSpPr>
            <xdr:spPr bwMode="auto">
              <a:xfrm>
                <a:off x="856693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21576" name="Button 72" hidden="1">
                <a:extLst>
                  <a:ext uri="{63B3BB69-23CF-44E3-9099-C40C66FF867C}">
                    <a14:compatExt spid="_x0000_s21576"/>
                  </a:ext>
                  <a:ext uri="{FF2B5EF4-FFF2-40B4-BE49-F238E27FC236}">
                    <a16:creationId xmlns:a16="http://schemas.microsoft.com/office/drawing/2014/main" id="{00000000-0008-0000-0600-00004854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21577" name="Button 73" hidden="1">
                <a:extLst>
                  <a:ext uri="{63B3BB69-23CF-44E3-9099-C40C66FF867C}">
                    <a14:compatExt spid="_x0000_s21577"/>
                  </a:ext>
                  <a:ext uri="{FF2B5EF4-FFF2-40B4-BE49-F238E27FC236}">
                    <a16:creationId xmlns:a16="http://schemas.microsoft.com/office/drawing/2014/main" id="{00000000-0008-0000-0600-00004954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6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21578" name="Button 74" hidden="1">
                <a:extLst>
                  <a:ext uri="{63B3BB69-23CF-44E3-9099-C40C66FF867C}">
                    <a14:compatExt spid="_x0000_s21578"/>
                  </a:ext>
                  <a:ext uri="{FF2B5EF4-FFF2-40B4-BE49-F238E27FC236}">
                    <a16:creationId xmlns:a16="http://schemas.microsoft.com/office/drawing/2014/main" id="{00000000-0008-0000-0600-00004A54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1579" name="Button 75" hidden="1">
                <a:extLst>
                  <a:ext uri="{63B3BB69-23CF-44E3-9099-C40C66FF867C}">
                    <a14:compatExt spid="_x0000_s21579"/>
                  </a:ext>
                  <a:ext uri="{FF2B5EF4-FFF2-40B4-BE49-F238E27FC236}">
                    <a16:creationId xmlns:a16="http://schemas.microsoft.com/office/drawing/2014/main" id="{00000000-0008-0000-0600-00004B54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33620</xdr:colOff>
      <xdr:row>1</xdr:row>
      <xdr:rowOff>22412</xdr:rowOff>
    </xdr:from>
    <xdr:to>
      <xdr:col>3</xdr:col>
      <xdr:colOff>649942</xdr:colOff>
      <xdr:row>1</xdr:row>
      <xdr:rowOff>280147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33620" y="582706"/>
          <a:ext cx="3003175" cy="25773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DE  DESLOCAMENTO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10</xdr:col>
          <xdr:colOff>1075765</xdr:colOff>
          <xdr:row>0</xdr:row>
          <xdr:rowOff>405093</xdr:rowOff>
        </xdr:to>
        <xdr:grpSp>
          <xdr:nvGrpSpPr>
            <xdr:cNvPr id="31" name="Grupo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:cNvPr>
            <xdr:cNvGrpSpPr/>
          </xdr:nvGrpSpPr>
          <xdr:grpSpPr>
            <a:xfrm>
              <a:off x="1335741" y="0"/>
              <a:ext cx="12541624" cy="405093"/>
              <a:chOff x="1167093" y="88527"/>
              <a:chExt cx="13134975" cy="405093"/>
            </a:xfrm>
          </xdr:grpSpPr>
          <xdr:sp macro="" textlink="">
            <xdr:nvSpPr>
              <xdr:cNvPr id="22558" name="Button 30" hidden="1">
                <a:extLst>
                  <a:ext uri="{63B3BB69-23CF-44E3-9099-C40C66FF867C}">
                    <a14:compatExt spid="_x0000_s22558"/>
                  </a:ext>
                  <a:ext uri="{FF2B5EF4-FFF2-40B4-BE49-F238E27FC236}">
                    <a16:creationId xmlns:a16="http://schemas.microsoft.com/office/drawing/2014/main" id="{00000000-0008-0000-0700-00001E5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22559" name="Button 31" hidden="1">
                <a:extLst>
                  <a:ext uri="{63B3BB69-23CF-44E3-9099-C40C66FF867C}">
                    <a14:compatExt spid="_x0000_s22559"/>
                  </a:ext>
                  <a:ext uri="{FF2B5EF4-FFF2-40B4-BE49-F238E27FC236}">
                    <a16:creationId xmlns:a16="http://schemas.microsoft.com/office/drawing/2014/main" id="{00000000-0008-0000-0700-00001F5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2560" name="Button 32" hidden="1">
                <a:extLst>
                  <a:ext uri="{63B3BB69-23CF-44E3-9099-C40C66FF867C}">
                    <a14:compatExt spid="_x0000_s22560"/>
                  </a:ext>
                  <a:ext uri="{FF2B5EF4-FFF2-40B4-BE49-F238E27FC236}">
                    <a16:creationId xmlns:a16="http://schemas.microsoft.com/office/drawing/2014/main" id="{00000000-0008-0000-0700-00002058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22561" name="Button 33" hidden="1">
                <a:extLst>
                  <a:ext uri="{63B3BB69-23CF-44E3-9099-C40C66FF867C}">
                    <a14:compatExt spid="_x0000_s22561"/>
                  </a:ext>
                  <a:ext uri="{FF2B5EF4-FFF2-40B4-BE49-F238E27FC236}">
                    <a16:creationId xmlns:a16="http://schemas.microsoft.com/office/drawing/2014/main" id="{00000000-0008-0000-0700-0000215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22562" name="Button 34" hidden="1">
                <a:extLst>
                  <a:ext uri="{63B3BB69-23CF-44E3-9099-C40C66FF867C}">
                    <a14:compatExt spid="_x0000_s22562"/>
                  </a:ext>
                  <a:ext uri="{FF2B5EF4-FFF2-40B4-BE49-F238E27FC236}">
                    <a16:creationId xmlns:a16="http://schemas.microsoft.com/office/drawing/2014/main" id="{00000000-0008-0000-0700-00002258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22563" name="Button 35" hidden="1">
                <a:extLst>
                  <a:ext uri="{63B3BB69-23CF-44E3-9099-C40C66FF867C}">
                    <a14:compatExt spid="_x0000_s22563"/>
                  </a:ext>
                  <a:ext uri="{FF2B5EF4-FFF2-40B4-BE49-F238E27FC236}">
                    <a16:creationId xmlns:a16="http://schemas.microsoft.com/office/drawing/2014/main" id="{00000000-0008-0000-0700-0000235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22564" name="Button 36" hidden="1">
                <a:extLst>
                  <a:ext uri="{63B3BB69-23CF-44E3-9099-C40C66FF867C}">
                    <a14:compatExt spid="_x0000_s22564"/>
                  </a:ext>
                  <a:ext uri="{FF2B5EF4-FFF2-40B4-BE49-F238E27FC236}">
                    <a16:creationId xmlns:a16="http://schemas.microsoft.com/office/drawing/2014/main" id="{00000000-0008-0000-0700-0000245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22565" name="Button 37" hidden="1">
                <a:extLst>
                  <a:ext uri="{63B3BB69-23CF-44E3-9099-C40C66FF867C}">
                    <a14:compatExt spid="_x0000_s22565"/>
                  </a:ext>
                  <a:ext uri="{FF2B5EF4-FFF2-40B4-BE49-F238E27FC236}">
                    <a16:creationId xmlns:a16="http://schemas.microsoft.com/office/drawing/2014/main" id="{00000000-0008-0000-0700-00002558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22566" name="Button 38" hidden="1">
                <a:extLst>
                  <a:ext uri="{63B3BB69-23CF-44E3-9099-C40C66FF867C}">
                    <a14:compatExt spid="_x0000_s22566"/>
                  </a:ext>
                  <a:ext uri="{FF2B5EF4-FFF2-40B4-BE49-F238E27FC236}">
                    <a16:creationId xmlns:a16="http://schemas.microsoft.com/office/drawing/2014/main" id="{00000000-0008-0000-0700-00002658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22567" name="Button 39" hidden="1">
                <a:extLst>
                  <a:ext uri="{63B3BB69-23CF-44E3-9099-C40C66FF867C}">
                    <a14:compatExt spid="_x0000_s22567"/>
                  </a:ext>
                  <a:ext uri="{FF2B5EF4-FFF2-40B4-BE49-F238E27FC236}">
                    <a16:creationId xmlns:a16="http://schemas.microsoft.com/office/drawing/2014/main" id="{00000000-0008-0000-0700-00002758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22568" name="Button 40" hidden="1">
                <a:extLst>
                  <a:ext uri="{63B3BB69-23CF-44E3-9099-C40C66FF867C}">
                    <a14:compatExt spid="_x0000_s22568"/>
                  </a:ext>
                  <a:ext uri="{FF2B5EF4-FFF2-40B4-BE49-F238E27FC236}">
                    <a16:creationId xmlns:a16="http://schemas.microsoft.com/office/drawing/2014/main" id="{00000000-0008-0000-0700-00002858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22569" name="Button 41" hidden="1">
                <a:extLst>
                  <a:ext uri="{63B3BB69-23CF-44E3-9099-C40C66FF867C}">
                    <a14:compatExt spid="_x0000_s22569"/>
                  </a:ext>
                  <a:ext uri="{FF2B5EF4-FFF2-40B4-BE49-F238E27FC236}">
                    <a16:creationId xmlns:a16="http://schemas.microsoft.com/office/drawing/2014/main" id="{00000000-0008-0000-0700-00002958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56029</xdr:colOff>
      <xdr:row>1</xdr:row>
      <xdr:rowOff>56030</xdr:rowOff>
    </xdr:from>
    <xdr:to>
      <xdr:col>2</xdr:col>
      <xdr:colOff>1122267</xdr:colOff>
      <xdr:row>1</xdr:row>
      <xdr:rowOff>246530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56029" y="593912"/>
          <a:ext cx="3240179" cy="1905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 ORÇAMENTOS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9</xdr:col>
          <xdr:colOff>627530</xdr:colOff>
          <xdr:row>0</xdr:row>
          <xdr:rowOff>405093</xdr:rowOff>
        </xdr:to>
        <xdr:grpSp>
          <xdr:nvGrpSpPr>
            <xdr:cNvPr id="31" name="Grupo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GrpSpPr/>
          </xdr:nvGrpSpPr>
          <xdr:grpSpPr>
            <a:xfrm>
              <a:off x="2232212" y="0"/>
              <a:ext cx="12559553" cy="405093"/>
              <a:chOff x="1167093" y="88527"/>
              <a:chExt cx="13134973" cy="405093"/>
            </a:xfrm>
          </xdr:grpSpPr>
          <xdr:sp macro="" textlink="">
            <xdr:nvSpPr>
              <xdr:cNvPr id="45085" name="Button 29" hidden="1">
                <a:extLst>
                  <a:ext uri="{63B3BB69-23CF-44E3-9099-C40C66FF867C}">
                    <a14:compatExt spid="_x0000_s45085"/>
                  </a:ext>
                  <a:ext uri="{FF2B5EF4-FFF2-40B4-BE49-F238E27FC236}">
                    <a16:creationId xmlns:a16="http://schemas.microsoft.com/office/drawing/2014/main" id="{00000000-0008-0000-0800-00001DB0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45086" name="Button 30" hidden="1">
                <a:extLst>
                  <a:ext uri="{63B3BB69-23CF-44E3-9099-C40C66FF867C}">
                    <a14:compatExt spid="_x0000_s45086"/>
                  </a:ext>
                  <a:ext uri="{FF2B5EF4-FFF2-40B4-BE49-F238E27FC236}">
                    <a16:creationId xmlns:a16="http://schemas.microsoft.com/office/drawing/2014/main" id="{00000000-0008-0000-0800-00001EB0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5087" name="Button 31" hidden="1">
                <a:extLst>
                  <a:ext uri="{63B3BB69-23CF-44E3-9099-C40C66FF867C}">
                    <a14:compatExt spid="_x0000_s45087"/>
                  </a:ext>
                  <a:ext uri="{FF2B5EF4-FFF2-40B4-BE49-F238E27FC236}">
                    <a16:creationId xmlns:a16="http://schemas.microsoft.com/office/drawing/2014/main" id="{00000000-0008-0000-0800-00001FB0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45088" name="Button 32" hidden="1">
                <a:extLst>
                  <a:ext uri="{63B3BB69-23CF-44E3-9099-C40C66FF867C}">
                    <a14:compatExt spid="_x0000_s45088"/>
                  </a:ext>
                  <a:ext uri="{FF2B5EF4-FFF2-40B4-BE49-F238E27FC236}">
                    <a16:creationId xmlns:a16="http://schemas.microsoft.com/office/drawing/2014/main" id="{00000000-0008-0000-0800-000020B0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45089" name="Button 33" hidden="1">
                <a:extLst>
                  <a:ext uri="{63B3BB69-23CF-44E3-9099-C40C66FF867C}">
                    <a14:compatExt spid="_x0000_s45089"/>
                  </a:ext>
                  <a:ext uri="{FF2B5EF4-FFF2-40B4-BE49-F238E27FC236}">
                    <a16:creationId xmlns:a16="http://schemas.microsoft.com/office/drawing/2014/main" id="{00000000-0008-0000-0800-000021B0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45090" name="Button 34" hidden="1">
                <a:extLst>
                  <a:ext uri="{63B3BB69-23CF-44E3-9099-C40C66FF867C}">
                    <a14:compatExt spid="_x0000_s45090"/>
                  </a:ext>
                  <a:ext uri="{FF2B5EF4-FFF2-40B4-BE49-F238E27FC236}">
                    <a16:creationId xmlns:a16="http://schemas.microsoft.com/office/drawing/2014/main" id="{00000000-0008-0000-0800-000022B0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45091" name="Button 35" hidden="1">
                <a:extLst>
                  <a:ext uri="{63B3BB69-23CF-44E3-9099-C40C66FF867C}">
                    <a14:compatExt spid="_x0000_s45091"/>
                  </a:ext>
                  <a:ext uri="{FF2B5EF4-FFF2-40B4-BE49-F238E27FC236}">
                    <a16:creationId xmlns:a16="http://schemas.microsoft.com/office/drawing/2014/main" id="{00000000-0008-0000-0800-000023B0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45092" name="Button 36" hidden="1">
                <a:extLst>
                  <a:ext uri="{63B3BB69-23CF-44E3-9099-C40C66FF867C}">
                    <a14:compatExt spid="_x0000_s45092"/>
                  </a:ext>
                  <a:ext uri="{FF2B5EF4-FFF2-40B4-BE49-F238E27FC236}">
                    <a16:creationId xmlns:a16="http://schemas.microsoft.com/office/drawing/2014/main" id="{00000000-0008-0000-0800-000024B0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45093" name="Button 37" hidden="1">
                <a:extLst>
                  <a:ext uri="{63B3BB69-23CF-44E3-9099-C40C66FF867C}">
                    <a14:compatExt spid="_x0000_s45093"/>
                  </a:ext>
                  <a:ext uri="{FF2B5EF4-FFF2-40B4-BE49-F238E27FC236}">
                    <a16:creationId xmlns:a16="http://schemas.microsoft.com/office/drawing/2014/main" id="{00000000-0008-0000-0800-000025B0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45094" name="Button 38" hidden="1">
                <a:extLst>
                  <a:ext uri="{63B3BB69-23CF-44E3-9099-C40C66FF867C}">
                    <a14:compatExt spid="_x0000_s45094"/>
                  </a:ext>
                  <a:ext uri="{FF2B5EF4-FFF2-40B4-BE49-F238E27FC236}">
                    <a16:creationId xmlns:a16="http://schemas.microsoft.com/office/drawing/2014/main" id="{00000000-0008-0000-0800-000026B0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45095" name="Button 39" hidden="1">
                <a:extLst>
                  <a:ext uri="{63B3BB69-23CF-44E3-9099-C40C66FF867C}">
                    <a14:compatExt spid="_x0000_s45095"/>
                  </a:ext>
                  <a:ext uri="{FF2B5EF4-FFF2-40B4-BE49-F238E27FC236}">
                    <a16:creationId xmlns:a16="http://schemas.microsoft.com/office/drawing/2014/main" id="{00000000-0008-0000-0800-000027B0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5096" name="Button 40" hidden="1">
                <a:extLst>
                  <a:ext uri="{63B3BB69-23CF-44E3-9099-C40C66FF867C}">
                    <a14:compatExt spid="_x0000_s45096"/>
                  </a:ext>
                  <a:ext uri="{FF2B5EF4-FFF2-40B4-BE49-F238E27FC236}">
                    <a16:creationId xmlns:a16="http://schemas.microsoft.com/office/drawing/2014/main" id="{00000000-0008-0000-0800-000028B00000}"/>
                  </a:ext>
                </a:extLst>
              </xdr:cNvPr>
              <xdr:cNvSpPr/>
            </xdr:nvSpPr>
            <xdr:spPr bwMode="auto">
              <a:xfrm>
                <a:off x="13164670" y="88527"/>
                <a:ext cx="1137396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825874</xdr:colOff>
      <xdr:row>36</xdr:row>
      <xdr:rowOff>83732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0" y="923365"/>
          <a:ext cx="1883709" cy="6179732"/>
          <a:chOff x="75079" y="1927412"/>
          <a:chExt cx="1856815" cy="656073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CLIENTE INTERNO">
                <a:extLst>
                  <a:ext uri="{FF2B5EF4-FFF2-40B4-BE49-F238E27FC236}">
                    <a16:creationId xmlns:a16="http://schemas.microsoft.com/office/drawing/2014/main" id="{00000000-0008-0000-0900-000002000000}"/>
                  </a:ext>
                </a:extLst>
              </xdr:cNvPr>
              <xdr:cNvGraphicFramePr/>
            </xdr:nvGraphicFramePr>
            <xdr:xfrm>
              <a:off x="103094" y="1927412"/>
              <a:ext cx="1828800" cy="2073088"/>
            </xdr:xfrm>
            <a:graphic>
              <a:graphicData uri="http://schemas.microsoft.com/office/drawing/2010/slicer">
                <sle:slicer xmlns:sle="http://schemas.microsoft.com/office/drawing/2010/slicer" name="CLIENTE INTER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015" y="930088"/>
                <a:ext cx="1828800" cy="207308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VENDEDOR">
                <a:extLst>
                  <a:ext uri="{FF2B5EF4-FFF2-40B4-BE49-F238E27FC236}">
                    <a16:creationId xmlns:a16="http://schemas.microsoft.com/office/drawing/2014/main" id="{00000000-0008-0000-0900-000003000000}"/>
                  </a:ext>
                </a:extLst>
              </xdr:cNvPr>
              <xdr:cNvGraphicFramePr/>
            </xdr:nvGraphicFramePr>
            <xdr:xfrm>
              <a:off x="75079" y="5964019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VENDEDOR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966695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STATUS">
                <a:extLst>
                  <a:ext uri="{FF2B5EF4-FFF2-40B4-BE49-F238E27FC236}">
                    <a16:creationId xmlns:a16="http://schemas.microsoft.com/office/drawing/2014/main" id="{00000000-0008-0000-0900-000004000000}"/>
                  </a:ext>
                </a:extLst>
              </xdr:cNvPr>
              <xdr:cNvGraphicFramePr/>
            </xdr:nvGraphicFramePr>
            <xdr:xfrm>
              <a:off x="80682" y="4070849"/>
              <a:ext cx="1828800" cy="1834652"/>
            </xdr:xfrm>
            <a:graphic>
              <a:graphicData uri="http://schemas.microsoft.com/office/drawing/2010/slicer">
                <sle:slicer xmlns:sle="http://schemas.microsoft.com/office/drawing/2010/slicer" name="STATU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603" y="3073525"/>
                <a:ext cx="1828800" cy="183465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100851</xdr:colOff>
      <xdr:row>1</xdr:row>
      <xdr:rowOff>56030</xdr:rowOff>
    </xdr:from>
    <xdr:to>
      <xdr:col>4</xdr:col>
      <xdr:colOff>661146</xdr:colOff>
      <xdr:row>1</xdr:row>
      <xdr:rowOff>268941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00851" y="694765"/>
          <a:ext cx="4796119" cy="21291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ORDENS DE PRODUÇÃO E/OU ORDENS DE SERVIÇOS </a:t>
          </a:r>
          <a:r>
            <a:rPr lang="pt-BR" sz="1100" b="1" u="sng" baseline="0">
              <a:solidFill>
                <a:srgbClr val="FFFF00"/>
              </a:solidFill>
            </a:rPr>
            <a:t>GANHAS</a:t>
          </a:r>
          <a:endParaRPr lang="pt-BR" sz="1100" b="1" u="sng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3922</xdr:rowOff>
        </xdr:from>
        <xdr:to>
          <xdr:col>10</xdr:col>
          <xdr:colOff>553570</xdr:colOff>
          <xdr:row>0</xdr:row>
          <xdr:rowOff>416299</xdr:rowOff>
        </xdr:to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0900-000024000000}"/>
                </a:ext>
              </a:extLst>
            </xdr:cNvPr>
            <xdr:cNvGrpSpPr/>
          </xdr:nvGrpSpPr>
          <xdr:grpSpPr>
            <a:xfrm>
              <a:off x="2017059" y="3922"/>
              <a:ext cx="11544299" cy="412377"/>
              <a:chOff x="1167093" y="92449"/>
              <a:chExt cx="12063469" cy="412377"/>
            </a:xfrm>
          </xdr:grpSpPr>
          <xdr:sp macro="" textlink="">
            <xdr:nvSpPr>
              <xdr:cNvPr id="34843" name="Button 27" hidden="1">
                <a:extLst>
                  <a:ext uri="{63B3BB69-23CF-44E3-9099-C40C66FF867C}">
                    <a14:compatExt spid="_x0000_s34843"/>
                  </a:ext>
                  <a:ext uri="{FF2B5EF4-FFF2-40B4-BE49-F238E27FC236}">
                    <a16:creationId xmlns:a16="http://schemas.microsoft.com/office/drawing/2014/main" id="{00000000-0008-0000-0900-00001B8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4844" name="Button 28" hidden="1">
                <a:extLst>
                  <a:ext uri="{63B3BB69-23CF-44E3-9099-C40C66FF867C}">
                    <a14:compatExt spid="_x0000_s34844"/>
                  </a:ext>
                  <a:ext uri="{FF2B5EF4-FFF2-40B4-BE49-F238E27FC236}">
                    <a16:creationId xmlns:a16="http://schemas.microsoft.com/office/drawing/2014/main" id="{00000000-0008-0000-0900-00001C8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4845" name="Button 29" hidden="1">
                <a:extLst>
                  <a:ext uri="{63B3BB69-23CF-44E3-9099-C40C66FF867C}">
                    <a14:compatExt spid="_x0000_s34845"/>
                  </a:ext>
                  <a:ext uri="{FF2B5EF4-FFF2-40B4-BE49-F238E27FC236}">
                    <a16:creationId xmlns:a16="http://schemas.microsoft.com/office/drawing/2014/main" id="{00000000-0008-0000-0900-00001D88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OS</a:t>
                </a:r>
              </a:p>
            </xdr:txBody>
          </xdr:sp>
          <xdr:sp macro="" textlink="">
            <xdr:nvSpPr>
              <xdr:cNvPr id="34846" name="Button 30" hidden="1">
                <a:extLst>
                  <a:ext uri="{63B3BB69-23CF-44E3-9099-C40C66FF867C}">
                    <a14:compatExt spid="_x0000_s34846"/>
                  </a:ext>
                  <a:ext uri="{FF2B5EF4-FFF2-40B4-BE49-F238E27FC236}">
                    <a16:creationId xmlns:a16="http://schemas.microsoft.com/office/drawing/2014/main" id="{00000000-0008-0000-0900-00001E8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4847" name="Button 31" hidden="1">
                <a:extLst>
                  <a:ext uri="{63B3BB69-23CF-44E3-9099-C40C66FF867C}">
                    <a14:compatExt spid="_x0000_s34847"/>
                  </a:ext>
                  <a:ext uri="{FF2B5EF4-FFF2-40B4-BE49-F238E27FC236}">
                    <a16:creationId xmlns:a16="http://schemas.microsoft.com/office/drawing/2014/main" id="{00000000-0008-0000-0900-00001F880000}"/>
                  </a:ext>
                </a:extLst>
              </xdr:cNvPr>
              <xdr:cNvSpPr/>
            </xdr:nvSpPr>
            <xdr:spPr bwMode="auto">
              <a:xfrm>
                <a:off x="537030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4848" name="Button 32" hidden="1">
                <a:extLst>
                  <a:ext uri="{63B3BB69-23CF-44E3-9099-C40C66FF867C}">
                    <a14:compatExt spid="_x0000_s34848"/>
                  </a:ext>
                  <a:ext uri="{FF2B5EF4-FFF2-40B4-BE49-F238E27FC236}">
                    <a16:creationId xmlns:a16="http://schemas.microsoft.com/office/drawing/2014/main" id="{00000000-0008-0000-0900-0000208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4849" name="Button 33" hidden="1">
                <a:extLst>
                  <a:ext uri="{63B3BB69-23CF-44E3-9099-C40C66FF867C}">
                    <a14:compatExt spid="_x0000_s34849"/>
                  </a:ext>
                  <a:ext uri="{FF2B5EF4-FFF2-40B4-BE49-F238E27FC236}">
                    <a16:creationId xmlns:a16="http://schemas.microsoft.com/office/drawing/2014/main" id="{00000000-0008-0000-0900-0000218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4851" name="Button 35" hidden="1">
                <a:extLst>
                  <a:ext uri="{63B3BB69-23CF-44E3-9099-C40C66FF867C}">
                    <a14:compatExt spid="_x0000_s34851"/>
                  </a:ext>
                  <a:ext uri="{FF2B5EF4-FFF2-40B4-BE49-F238E27FC236}">
                    <a16:creationId xmlns:a16="http://schemas.microsoft.com/office/drawing/2014/main" id="{00000000-0008-0000-0900-000023880000}"/>
                  </a:ext>
                </a:extLst>
              </xdr:cNvPr>
              <xdr:cNvSpPr/>
            </xdr:nvSpPr>
            <xdr:spPr bwMode="auto">
              <a:xfrm>
                <a:off x="8560967" y="103655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4852" name="Button 36" hidden="1">
                <a:extLst>
                  <a:ext uri="{63B3BB69-23CF-44E3-9099-C40C66FF867C}">
                    <a14:compatExt spid="_x0000_s34852"/>
                  </a:ext>
                  <a:ext uri="{FF2B5EF4-FFF2-40B4-BE49-F238E27FC236}">
                    <a16:creationId xmlns:a16="http://schemas.microsoft.com/office/drawing/2014/main" id="{00000000-0008-0000-0900-000024880000}"/>
                  </a:ext>
                </a:extLst>
              </xdr:cNvPr>
              <xdr:cNvSpPr/>
            </xdr:nvSpPr>
            <xdr:spPr bwMode="auto">
              <a:xfrm>
                <a:off x="9734325" y="104776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4853" name="Button 37" hidden="1">
                <a:extLst>
                  <a:ext uri="{63B3BB69-23CF-44E3-9099-C40C66FF867C}">
                    <a14:compatExt spid="_x0000_s34853"/>
                  </a:ext>
                  <a:ext uri="{FF2B5EF4-FFF2-40B4-BE49-F238E27FC236}">
                    <a16:creationId xmlns:a16="http://schemas.microsoft.com/office/drawing/2014/main" id="{00000000-0008-0000-0900-000025880000}"/>
                  </a:ext>
                </a:extLst>
              </xdr:cNvPr>
              <xdr:cNvSpPr/>
            </xdr:nvSpPr>
            <xdr:spPr bwMode="auto">
              <a:xfrm>
                <a:off x="10905341" y="99733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4854" name="Button 38" hidden="1">
                <a:extLst>
                  <a:ext uri="{63B3BB69-23CF-44E3-9099-C40C66FF867C}">
                    <a14:compatExt spid="_x0000_s34854"/>
                  </a:ext>
                  <a:ext uri="{FF2B5EF4-FFF2-40B4-BE49-F238E27FC236}">
                    <a16:creationId xmlns:a16="http://schemas.microsoft.com/office/drawing/2014/main" id="{00000000-0008-0000-0900-000026880000}"/>
                  </a:ext>
                </a:extLst>
              </xdr:cNvPr>
              <xdr:cNvSpPr/>
            </xdr:nvSpPr>
            <xdr:spPr bwMode="auto">
              <a:xfrm>
                <a:off x="12093165" y="99733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36</xdr:row>
      <xdr:rowOff>159125</xdr:rowOff>
    </xdr:from>
    <xdr:to>
      <xdr:col>1</xdr:col>
      <xdr:colOff>797859</xdr:colOff>
      <xdr:row>50</xdr:row>
      <xdr:rowOff>16250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NO FINAL.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FINAL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56621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67235</xdr:colOff>
      <xdr:row>1</xdr:row>
      <xdr:rowOff>33618</xdr:rowOff>
    </xdr:from>
    <xdr:to>
      <xdr:col>2</xdr:col>
      <xdr:colOff>773206</xdr:colOff>
      <xdr:row>1</xdr:row>
      <xdr:rowOff>280147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67235" y="672353"/>
          <a:ext cx="2689412" cy="2465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FATURAMENTO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23533</xdr:colOff>
      <xdr:row>2</xdr:row>
      <xdr:rowOff>179294</xdr:rowOff>
    </xdr:from>
    <xdr:to>
      <xdr:col>1</xdr:col>
      <xdr:colOff>889186</xdr:colOff>
      <xdr:row>50</xdr:row>
      <xdr:rowOff>155762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>
          <a:off x="23533" y="1120588"/>
          <a:ext cx="1869700" cy="8582586"/>
          <a:chOff x="57150" y="851647"/>
          <a:chExt cx="1851771" cy="9120468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CLIENTE INTERNO 1">
                <a:extLst>
                  <a:ext uri="{FF2B5EF4-FFF2-40B4-BE49-F238E27FC236}">
                    <a16:creationId xmlns:a16="http://schemas.microsoft.com/office/drawing/2014/main" id="{00000000-0008-0000-0A00-000002000000}"/>
                  </a:ext>
                </a:extLst>
              </xdr:cNvPr>
              <xdr:cNvGraphicFramePr/>
            </xdr:nvGraphicFramePr>
            <xdr:xfrm>
              <a:off x="57150" y="851647"/>
              <a:ext cx="1824318" cy="1411941"/>
            </xdr:xfrm>
            <a:graphic>
              <a:graphicData uri="http://schemas.microsoft.com/office/drawing/2010/slicer">
                <sle:slicer xmlns:sle="http://schemas.microsoft.com/office/drawing/2010/slicer" name="CLIENTE INTERN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3533" y="1120588"/>
                <a:ext cx="1824318" cy="141194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VENDEDOR 1">
                <a:extLst>
                  <a:ext uri="{FF2B5EF4-FFF2-40B4-BE49-F238E27FC236}">
                    <a16:creationId xmlns:a16="http://schemas.microsoft.com/office/drawing/2014/main" id="{00000000-0008-0000-0A00-000003000000}"/>
                  </a:ext>
                </a:extLst>
              </xdr:cNvPr>
              <xdr:cNvGraphicFramePr/>
            </xdr:nvGraphicFramePr>
            <xdr:xfrm>
              <a:off x="58831" y="4868395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VENDEDOR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214" y="5137336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 FATURAMENTO">
                <a:extLst>
                  <a:ext uri="{FF2B5EF4-FFF2-40B4-BE49-F238E27FC236}">
                    <a16:creationId xmlns:a16="http://schemas.microsoft.com/office/drawing/2014/main" id="{00000000-0008-0000-0A00-000004000000}"/>
                  </a:ext>
                </a:extLst>
              </xdr:cNvPr>
              <xdr:cNvGraphicFramePr/>
            </xdr:nvGraphicFramePr>
            <xdr:xfrm>
              <a:off x="58831" y="2310932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MÊS FATURAMENT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214" y="2579873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NATUREZA">
                <a:extLst>
                  <a:ext uri="{FF2B5EF4-FFF2-40B4-BE49-F238E27FC236}">
                    <a16:creationId xmlns:a16="http://schemas.microsoft.com/office/drawing/2014/main" id="{00000000-0008-0000-0A00-000007000000}"/>
                  </a:ext>
                </a:extLst>
              </xdr:cNvPr>
              <xdr:cNvGraphicFramePr/>
            </xdr:nvGraphicFramePr>
            <xdr:xfrm>
              <a:off x="80121" y="744799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NATUREZA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6504" y="7716931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9</xdr:col>
          <xdr:colOff>1945341</xdr:colOff>
          <xdr:row>0</xdr:row>
          <xdr:rowOff>405093</xdr:rowOff>
        </xdr:to>
        <xdr:grpSp>
          <xdr:nvGrpSpPr>
            <xdr:cNvPr id="49" name="Grupo 48">
              <a:extLst>
                <a:ext uri="{FF2B5EF4-FFF2-40B4-BE49-F238E27FC236}">
                  <a16:creationId xmlns:a16="http://schemas.microsoft.com/office/drawing/2014/main" id="{00000000-0008-0000-0A00-000031000000}"/>
                </a:ext>
              </a:extLst>
            </xdr:cNvPr>
            <xdr:cNvGrpSpPr/>
          </xdr:nvGrpSpPr>
          <xdr:grpSpPr>
            <a:xfrm>
              <a:off x="2034988" y="0"/>
              <a:ext cx="11501718" cy="405093"/>
              <a:chOff x="1167093" y="88527"/>
              <a:chExt cx="12039390" cy="405093"/>
            </a:xfrm>
          </xdr:grpSpPr>
          <xdr:sp macro="" textlink="">
            <xdr:nvSpPr>
              <xdr:cNvPr id="35879" name="Button 39" hidden="1">
                <a:extLst>
                  <a:ext uri="{63B3BB69-23CF-44E3-9099-C40C66FF867C}">
                    <a14:compatExt spid="_x0000_s35879"/>
                  </a:ext>
                  <a:ext uri="{FF2B5EF4-FFF2-40B4-BE49-F238E27FC236}">
                    <a16:creationId xmlns:a16="http://schemas.microsoft.com/office/drawing/2014/main" id="{00000000-0008-0000-0A00-0000278C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5880" name="Button 40" hidden="1">
                <a:extLst>
                  <a:ext uri="{63B3BB69-23CF-44E3-9099-C40C66FF867C}">
                    <a14:compatExt spid="_x0000_s35880"/>
                  </a:ext>
                  <a:ext uri="{FF2B5EF4-FFF2-40B4-BE49-F238E27FC236}">
                    <a16:creationId xmlns:a16="http://schemas.microsoft.com/office/drawing/2014/main" id="{00000000-0008-0000-0A00-0000288C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5881" name="Button 41" hidden="1">
                <a:extLst>
                  <a:ext uri="{63B3BB69-23CF-44E3-9099-C40C66FF867C}">
                    <a14:compatExt spid="_x0000_s35881"/>
                  </a:ext>
                  <a:ext uri="{FF2B5EF4-FFF2-40B4-BE49-F238E27FC236}">
                    <a16:creationId xmlns:a16="http://schemas.microsoft.com/office/drawing/2014/main" id="{00000000-0008-0000-0A00-0000298C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35882" name="Button 42" hidden="1">
                <a:extLst>
                  <a:ext uri="{63B3BB69-23CF-44E3-9099-C40C66FF867C}">
                    <a14:compatExt spid="_x0000_s35882"/>
                  </a:ext>
                  <a:ext uri="{FF2B5EF4-FFF2-40B4-BE49-F238E27FC236}">
                    <a16:creationId xmlns:a16="http://schemas.microsoft.com/office/drawing/2014/main" id="{00000000-0008-0000-0A00-00002A8C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5883" name="Button 43" hidden="1">
                <a:extLst>
                  <a:ext uri="{63B3BB69-23CF-44E3-9099-C40C66FF867C}">
                    <a14:compatExt spid="_x0000_s35883"/>
                  </a:ext>
                  <a:ext uri="{FF2B5EF4-FFF2-40B4-BE49-F238E27FC236}">
                    <a16:creationId xmlns:a16="http://schemas.microsoft.com/office/drawing/2014/main" id="{00000000-0008-0000-0A00-00002B8C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5884" name="Button 44" hidden="1">
                <a:extLst>
                  <a:ext uri="{63B3BB69-23CF-44E3-9099-C40C66FF867C}">
                    <a14:compatExt spid="_x0000_s35884"/>
                  </a:ext>
                  <a:ext uri="{FF2B5EF4-FFF2-40B4-BE49-F238E27FC236}">
                    <a16:creationId xmlns:a16="http://schemas.microsoft.com/office/drawing/2014/main" id="{00000000-0008-0000-0A00-00002C8C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5885" name="Button 45" hidden="1">
                <a:extLst>
                  <a:ext uri="{63B3BB69-23CF-44E3-9099-C40C66FF867C}">
                    <a14:compatExt spid="_x0000_s35885"/>
                  </a:ext>
                  <a:ext uri="{FF2B5EF4-FFF2-40B4-BE49-F238E27FC236}">
                    <a16:creationId xmlns:a16="http://schemas.microsoft.com/office/drawing/2014/main" id="{00000000-0008-0000-0A00-00002D8C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5887" name="Button 47" hidden="1">
                <a:extLst>
                  <a:ext uri="{63B3BB69-23CF-44E3-9099-C40C66FF867C}">
                    <a14:compatExt spid="_x0000_s35887"/>
                  </a:ext>
                  <a:ext uri="{FF2B5EF4-FFF2-40B4-BE49-F238E27FC236}">
                    <a16:creationId xmlns:a16="http://schemas.microsoft.com/office/drawing/2014/main" id="{00000000-0008-0000-0A00-00002F8C0000}"/>
                  </a:ext>
                </a:extLst>
              </xdr:cNvPr>
              <xdr:cNvSpPr/>
            </xdr:nvSpPr>
            <xdr:spPr bwMode="auto">
              <a:xfrm>
                <a:off x="8536888" y="92449"/>
                <a:ext cx="1125173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5888" name="Button 48" hidden="1">
                <a:extLst>
                  <a:ext uri="{63B3BB69-23CF-44E3-9099-C40C66FF867C}">
                    <a14:compatExt spid="_x0000_s35888"/>
                  </a:ext>
                  <a:ext uri="{FF2B5EF4-FFF2-40B4-BE49-F238E27FC236}">
                    <a16:creationId xmlns:a16="http://schemas.microsoft.com/office/drawing/2014/main" id="{00000000-0008-0000-0A00-0000308C0000}"/>
                  </a:ext>
                </a:extLst>
              </xdr:cNvPr>
              <xdr:cNvSpPr/>
            </xdr:nvSpPr>
            <xdr:spPr bwMode="auto">
              <a:xfrm>
                <a:off x="9710246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5889" name="Button 49" hidden="1">
                <a:extLst>
                  <a:ext uri="{63B3BB69-23CF-44E3-9099-C40C66FF867C}">
                    <a14:compatExt spid="_x0000_s35889"/>
                  </a:ext>
                  <a:ext uri="{FF2B5EF4-FFF2-40B4-BE49-F238E27FC236}">
                    <a16:creationId xmlns:a16="http://schemas.microsoft.com/office/drawing/2014/main" id="{00000000-0008-0000-0A00-0000318C0000}"/>
                  </a:ext>
                </a:extLst>
              </xdr:cNvPr>
              <xdr:cNvSpPr/>
            </xdr:nvSpPr>
            <xdr:spPr bwMode="auto">
              <a:xfrm>
                <a:off x="10881262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5890" name="Button 50" hidden="1">
                <a:extLst>
                  <a:ext uri="{63B3BB69-23CF-44E3-9099-C40C66FF867C}">
                    <a14:compatExt spid="_x0000_s35890"/>
                  </a:ext>
                  <a:ext uri="{FF2B5EF4-FFF2-40B4-BE49-F238E27FC236}">
                    <a16:creationId xmlns:a16="http://schemas.microsoft.com/office/drawing/2014/main" id="{00000000-0008-0000-0A00-0000328C0000}"/>
                  </a:ext>
                </a:extLst>
              </xdr:cNvPr>
              <xdr:cNvSpPr/>
            </xdr:nvSpPr>
            <xdr:spPr bwMode="auto">
              <a:xfrm>
                <a:off x="12069086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67235</xdr:colOff>
      <xdr:row>1</xdr:row>
      <xdr:rowOff>22412</xdr:rowOff>
    </xdr:from>
    <xdr:to>
      <xdr:col>2</xdr:col>
      <xdr:colOff>824192</xdr:colOff>
      <xdr:row>1</xdr:row>
      <xdr:rowOff>257735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67235" y="661147"/>
          <a:ext cx="2684369" cy="23532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COMPRAS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11206</xdr:colOff>
      <xdr:row>3</xdr:row>
      <xdr:rowOff>9526</xdr:rowOff>
    </xdr:from>
    <xdr:to>
      <xdr:col>1</xdr:col>
      <xdr:colOff>791696</xdr:colOff>
      <xdr:row>43</xdr:row>
      <xdr:rowOff>54909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pSpPr/>
      </xdr:nvGrpSpPr>
      <xdr:grpSpPr>
        <a:xfrm>
          <a:off x="11206" y="1130114"/>
          <a:ext cx="1856255" cy="7217148"/>
          <a:chOff x="11206" y="838761"/>
          <a:chExt cx="1833843" cy="7665383"/>
        </a:xfrm>
      </xdr:grpSpPr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GrpSpPr/>
        </xdr:nvGrpSpPr>
        <xdr:grpSpPr>
          <a:xfrm>
            <a:off x="11206" y="838761"/>
            <a:ext cx="1833843" cy="5095875"/>
            <a:chOff x="190500" y="962025"/>
            <a:chExt cx="1833843" cy="5095875"/>
          </a:xfrm>
        </xdr:grpSpPr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2" name="CATEGORIA">
                  <a:extLst>
                    <a:ext uri="{FF2B5EF4-FFF2-40B4-BE49-F238E27FC236}">
                      <a16:creationId xmlns:a16="http://schemas.microsoft.com/office/drawing/2014/main" id="{00000000-0008-0000-0B00-000002000000}"/>
                    </a:ext>
                  </a:extLst>
                </xdr:cNvPr>
                <xdr:cNvGraphicFramePr/>
              </xdr:nvGraphicFramePr>
              <xdr:xfrm>
                <a:off x="200025" y="962025"/>
                <a:ext cx="1824318" cy="2524125"/>
              </xdr:xfrm>
              <a:graphic>
                <a:graphicData uri="http://schemas.microsoft.com/office/drawing/2010/slicer">
                  <sle:slicer xmlns:sle="http://schemas.microsoft.com/office/drawing/2010/slicer" name="CATEGORIA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0731" y="838761"/>
                  <a:ext cx="1824318" cy="25241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pt-BR" sz="1100"/>
  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3" name="MÊS COMPRA">
                  <a:extLst>
                    <a:ext uri="{FF2B5EF4-FFF2-40B4-BE49-F238E27FC236}">
                      <a16:creationId xmlns:a16="http://schemas.microsoft.com/office/drawing/2014/main" id="{00000000-0008-0000-0B00-000003000000}"/>
                    </a:ext>
                  </a:extLst>
                </xdr:cNvPr>
                <xdr:cNvGraphicFramePr/>
              </xdr:nvGraphicFramePr>
              <xdr:xfrm>
                <a:off x="190500" y="3533775"/>
                <a:ext cx="1824318" cy="2524125"/>
              </xdr:xfrm>
              <a:graphic>
                <a:graphicData uri="http://schemas.microsoft.com/office/drawing/2010/slicer">
                  <sle:slicer xmlns:sle="http://schemas.microsoft.com/office/drawing/2010/slicer" name="MÊS COMPRA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1206" y="3410511"/>
                  <a:ext cx="1824318" cy="25241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pt-BR" sz="1100"/>
  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  </a:r>
                </a:p>
              </xdr:txBody>
            </xdr:sp>
          </mc:Fallback>
        </mc:AlternateContent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OP/OS 1">
                <a:extLst>
                  <a:ext uri="{FF2B5EF4-FFF2-40B4-BE49-F238E27FC236}">
                    <a16:creationId xmlns:a16="http://schemas.microsoft.com/office/drawing/2014/main" id="{00000000-0008-0000-0B00-000006000000}"/>
                  </a:ext>
                </a:extLst>
              </xdr:cNvPr>
              <xdr:cNvGraphicFramePr/>
            </xdr:nvGraphicFramePr>
            <xdr:xfrm>
              <a:off x="11206" y="5980019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OP/OS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206" y="5980019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3922</xdr:rowOff>
        </xdr:from>
        <xdr:to>
          <xdr:col>10</xdr:col>
          <xdr:colOff>113739</xdr:colOff>
          <xdr:row>0</xdr:row>
          <xdr:rowOff>416299</xdr:rowOff>
        </xdr:to>
        <xdr:grpSp>
          <xdr:nvGrpSpPr>
            <xdr:cNvPr id="49" name="Grupo 48">
              <a:extLst>
                <a:ext uri="{FF2B5EF4-FFF2-40B4-BE49-F238E27FC236}">
                  <a16:creationId xmlns:a16="http://schemas.microsoft.com/office/drawing/2014/main" id="{00000000-0008-0000-0B00-000031000000}"/>
                </a:ext>
              </a:extLst>
            </xdr:cNvPr>
            <xdr:cNvGrpSpPr/>
          </xdr:nvGrpSpPr>
          <xdr:grpSpPr>
            <a:xfrm>
              <a:off x="1972235" y="3922"/>
              <a:ext cx="11292728" cy="412377"/>
              <a:chOff x="1167093" y="92449"/>
              <a:chExt cx="12042184" cy="412377"/>
            </a:xfrm>
          </xdr:grpSpPr>
          <xdr:sp macro="" textlink="">
            <xdr:nvSpPr>
              <xdr:cNvPr id="36903" name="Button 39" hidden="1">
                <a:extLst>
                  <a:ext uri="{63B3BB69-23CF-44E3-9099-C40C66FF867C}">
                    <a14:compatExt spid="_x0000_s36903"/>
                  </a:ext>
                  <a:ext uri="{FF2B5EF4-FFF2-40B4-BE49-F238E27FC236}">
                    <a16:creationId xmlns:a16="http://schemas.microsoft.com/office/drawing/2014/main" id="{00000000-0008-0000-0B00-00002790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6904" name="Button 40" hidden="1">
                <a:extLst>
                  <a:ext uri="{63B3BB69-23CF-44E3-9099-C40C66FF867C}">
                    <a14:compatExt spid="_x0000_s36904"/>
                  </a:ext>
                  <a:ext uri="{FF2B5EF4-FFF2-40B4-BE49-F238E27FC236}">
                    <a16:creationId xmlns:a16="http://schemas.microsoft.com/office/drawing/2014/main" id="{00000000-0008-0000-0B00-00002890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3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6905" name="Button 41" hidden="1">
                <a:extLst>
                  <a:ext uri="{63B3BB69-23CF-44E3-9099-C40C66FF867C}">
                    <a14:compatExt spid="_x0000_s36905"/>
                  </a:ext>
                  <a:ext uri="{FF2B5EF4-FFF2-40B4-BE49-F238E27FC236}">
                    <a16:creationId xmlns:a16="http://schemas.microsoft.com/office/drawing/2014/main" id="{00000000-0008-0000-0B00-00002990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36906" name="Button 42" hidden="1">
                <a:extLst>
                  <a:ext uri="{63B3BB69-23CF-44E3-9099-C40C66FF867C}">
                    <a14:compatExt spid="_x0000_s36906"/>
                  </a:ext>
                  <a:ext uri="{FF2B5EF4-FFF2-40B4-BE49-F238E27FC236}">
                    <a16:creationId xmlns:a16="http://schemas.microsoft.com/office/drawing/2014/main" id="{00000000-0008-0000-0B00-00002A90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6907" name="Button 43" hidden="1">
                <a:extLst>
                  <a:ext uri="{63B3BB69-23CF-44E3-9099-C40C66FF867C}">
                    <a14:compatExt spid="_x0000_s36907"/>
                  </a:ext>
                  <a:ext uri="{FF2B5EF4-FFF2-40B4-BE49-F238E27FC236}">
                    <a16:creationId xmlns:a16="http://schemas.microsoft.com/office/drawing/2014/main" id="{00000000-0008-0000-0B00-00002B90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6908" name="Button 44" hidden="1">
                <a:extLst>
                  <a:ext uri="{63B3BB69-23CF-44E3-9099-C40C66FF867C}">
                    <a14:compatExt spid="_x0000_s36908"/>
                  </a:ext>
                  <a:ext uri="{FF2B5EF4-FFF2-40B4-BE49-F238E27FC236}">
                    <a16:creationId xmlns:a16="http://schemas.microsoft.com/office/drawing/2014/main" id="{00000000-0008-0000-0B00-00002C90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6909" name="Button 45" hidden="1">
                <a:extLst>
                  <a:ext uri="{63B3BB69-23CF-44E3-9099-C40C66FF867C}">
                    <a14:compatExt spid="_x0000_s36909"/>
                  </a:ext>
                  <a:ext uri="{FF2B5EF4-FFF2-40B4-BE49-F238E27FC236}">
                    <a16:creationId xmlns:a16="http://schemas.microsoft.com/office/drawing/2014/main" id="{00000000-0008-0000-0B00-00002D90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6911" name="Button 47" hidden="1">
                <a:extLst>
                  <a:ext uri="{63B3BB69-23CF-44E3-9099-C40C66FF867C}">
                    <a14:compatExt spid="_x0000_s36911"/>
                  </a:ext>
                  <a:ext uri="{FF2B5EF4-FFF2-40B4-BE49-F238E27FC236}">
                    <a16:creationId xmlns:a16="http://schemas.microsoft.com/office/drawing/2014/main" id="{00000000-0008-0000-0B00-00002F900000}"/>
                  </a:ext>
                </a:extLst>
              </xdr:cNvPr>
              <xdr:cNvSpPr/>
            </xdr:nvSpPr>
            <xdr:spPr bwMode="auto">
              <a:xfrm>
                <a:off x="8539682" y="103655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6912" name="Button 48" hidden="1">
                <a:extLst>
                  <a:ext uri="{63B3BB69-23CF-44E3-9099-C40C66FF867C}">
                    <a14:compatExt spid="_x0000_s36912"/>
                  </a:ext>
                  <a:ext uri="{FF2B5EF4-FFF2-40B4-BE49-F238E27FC236}">
                    <a16:creationId xmlns:a16="http://schemas.microsoft.com/office/drawing/2014/main" id="{00000000-0008-0000-0B00-000030900000}"/>
                  </a:ext>
                </a:extLst>
              </xdr:cNvPr>
              <xdr:cNvSpPr/>
            </xdr:nvSpPr>
            <xdr:spPr bwMode="auto">
              <a:xfrm>
                <a:off x="9713041" y="104776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6913" name="Button 49" hidden="1">
                <a:extLst>
                  <a:ext uri="{63B3BB69-23CF-44E3-9099-C40C66FF867C}">
                    <a14:compatExt spid="_x0000_s36913"/>
                  </a:ext>
                  <a:ext uri="{FF2B5EF4-FFF2-40B4-BE49-F238E27FC236}">
                    <a16:creationId xmlns:a16="http://schemas.microsoft.com/office/drawing/2014/main" id="{00000000-0008-0000-0B00-000031900000}"/>
                  </a:ext>
                </a:extLst>
              </xdr:cNvPr>
              <xdr:cNvSpPr/>
            </xdr:nvSpPr>
            <xdr:spPr bwMode="auto">
              <a:xfrm>
                <a:off x="10884056" y="99733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6914" name="Button 50" hidden="1">
                <a:extLst>
                  <a:ext uri="{63B3BB69-23CF-44E3-9099-C40C66FF867C}">
                    <a14:compatExt spid="_x0000_s36914"/>
                  </a:ext>
                  <a:ext uri="{FF2B5EF4-FFF2-40B4-BE49-F238E27FC236}">
                    <a16:creationId xmlns:a16="http://schemas.microsoft.com/office/drawing/2014/main" id="{00000000-0008-0000-0B00-000032900000}"/>
                  </a:ext>
                </a:extLst>
              </xdr:cNvPr>
              <xdr:cNvSpPr/>
            </xdr:nvSpPr>
            <xdr:spPr bwMode="auto">
              <a:xfrm>
                <a:off x="12071880" y="99733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33618</xdr:colOff>
      <xdr:row>3</xdr:row>
      <xdr:rowOff>1680</xdr:rowOff>
    </xdr:from>
    <xdr:to>
      <xdr:col>1</xdr:col>
      <xdr:colOff>887506</xdr:colOff>
      <xdr:row>43</xdr:row>
      <xdr:rowOff>26893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33618" y="1122268"/>
          <a:ext cx="1875864" cy="7205943"/>
          <a:chOff x="74519" y="1716181"/>
          <a:chExt cx="1840006" cy="7656419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OP/OS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aphicFramePr/>
            </xdr:nvGraphicFramePr>
            <xdr:xfrm>
              <a:off x="74519" y="6848475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OP/O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3618" y="6254562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FUNCIONARIO">
                <a:extLst>
                  <a:ext uri="{FF2B5EF4-FFF2-40B4-BE49-F238E27FC236}">
                    <a16:creationId xmlns:a16="http://schemas.microsoft.com/office/drawing/2014/main" id="{00000000-0008-0000-0C00-000003000000}"/>
                  </a:ext>
                </a:extLst>
              </xdr:cNvPr>
              <xdr:cNvGraphicFramePr/>
            </xdr:nvGraphicFramePr>
            <xdr:xfrm>
              <a:off x="80122" y="4282328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FUNCIONARI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9221" y="3688415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">
                <a:extLst>
                  <a:ext uri="{FF2B5EF4-FFF2-40B4-BE49-F238E27FC236}">
                    <a16:creationId xmlns:a16="http://schemas.microsoft.com/office/drawing/2014/main" id="{00000000-0008-0000-0C00-000004000000}"/>
                  </a:ext>
                </a:extLst>
              </xdr:cNvPr>
              <xdr:cNvGraphicFramePr/>
            </xdr:nvGraphicFramePr>
            <xdr:xfrm>
              <a:off x="85725" y="1716181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Ê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824" y="1122268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22412</xdr:colOff>
      <xdr:row>1</xdr:row>
      <xdr:rowOff>22412</xdr:rowOff>
    </xdr:from>
    <xdr:to>
      <xdr:col>3</xdr:col>
      <xdr:colOff>275104</xdr:colOff>
      <xdr:row>1</xdr:row>
      <xdr:rowOff>257735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22412" y="661147"/>
          <a:ext cx="2886074" cy="23532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HORAS TRABALHADAS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10</xdr:col>
          <xdr:colOff>844924</xdr:colOff>
          <xdr:row>0</xdr:row>
          <xdr:rowOff>405093</xdr:rowOff>
        </xdr:to>
        <xdr:grpSp>
          <xdr:nvGrpSpPr>
            <xdr:cNvPr id="35" name="Grupo 34">
              <a:extLst>
                <a:ext uri="{FF2B5EF4-FFF2-40B4-BE49-F238E27FC236}">
                  <a16:creationId xmlns:a16="http://schemas.microsoft.com/office/drawing/2014/main" id="{00000000-0008-0000-0C00-000023000000}"/>
                </a:ext>
              </a:extLst>
            </xdr:cNvPr>
            <xdr:cNvGrpSpPr/>
          </xdr:nvGrpSpPr>
          <xdr:grpSpPr>
            <a:xfrm>
              <a:off x="1981200" y="0"/>
              <a:ext cx="11521889" cy="405093"/>
              <a:chOff x="1167094" y="88527"/>
              <a:chExt cx="12075508" cy="405093"/>
            </a:xfrm>
          </xdr:grpSpPr>
          <xdr:sp macro="" textlink="">
            <xdr:nvSpPr>
              <xdr:cNvPr id="37915" name="Button 27" hidden="1">
                <a:extLst>
                  <a:ext uri="{63B3BB69-23CF-44E3-9099-C40C66FF867C}">
                    <a14:compatExt spid="_x0000_s37915"/>
                  </a:ext>
                  <a:ext uri="{FF2B5EF4-FFF2-40B4-BE49-F238E27FC236}">
                    <a16:creationId xmlns:a16="http://schemas.microsoft.com/office/drawing/2014/main" id="{00000000-0008-0000-0C00-00001B940000}"/>
                  </a:ext>
                </a:extLst>
              </xdr:cNvPr>
              <xdr:cNvSpPr/>
            </xdr:nvSpPr>
            <xdr:spPr bwMode="auto">
              <a:xfrm>
                <a:off x="116709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7916" name="Button 28" hidden="1">
                <a:extLst>
                  <a:ext uri="{63B3BB69-23CF-44E3-9099-C40C66FF867C}">
                    <a14:compatExt spid="_x0000_s37916"/>
                  </a:ext>
                  <a:ext uri="{FF2B5EF4-FFF2-40B4-BE49-F238E27FC236}">
                    <a16:creationId xmlns:a16="http://schemas.microsoft.com/office/drawing/2014/main" id="{00000000-0008-0000-0C00-00001C94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1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7917" name="Button 29" hidden="1">
                <a:extLst>
                  <a:ext uri="{63B3BB69-23CF-44E3-9099-C40C66FF867C}">
                    <a14:compatExt spid="_x0000_s37917"/>
                  </a:ext>
                  <a:ext uri="{FF2B5EF4-FFF2-40B4-BE49-F238E27FC236}">
                    <a16:creationId xmlns:a16="http://schemas.microsoft.com/office/drawing/2014/main" id="{00000000-0008-0000-0C00-00001D94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37918" name="Button 30" hidden="1">
                <a:extLst>
                  <a:ext uri="{63B3BB69-23CF-44E3-9099-C40C66FF867C}">
                    <a14:compatExt spid="_x0000_s37918"/>
                  </a:ext>
                  <a:ext uri="{FF2B5EF4-FFF2-40B4-BE49-F238E27FC236}">
                    <a16:creationId xmlns:a16="http://schemas.microsoft.com/office/drawing/2014/main" id="{00000000-0008-0000-0C00-00001E94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7919" name="Button 31" hidden="1">
                <a:extLst>
                  <a:ext uri="{63B3BB69-23CF-44E3-9099-C40C66FF867C}">
                    <a14:compatExt spid="_x0000_s37919"/>
                  </a:ext>
                  <a:ext uri="{FF2B5EF4-FFF2-40B4-BE49-F238E27FC236}">
                    <a16:creationId xmlns:a16="http://schemas.microsoft.com/office/drawing/2014/main" id="{00000000-0008-0000-0C00-00001F94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7920" name="Button 32" hidden="1">
                <a:extLst>
                  <a:ext uri="{63B3BB69-23CF-44E3-9099-C40C66FF867C}">
                    <a14:compatExt spid="_x0000_s37920"/>
                  </a:ext>
                  <a:ext uri="{FF2B5EF4-FFF2-40B4-BE49-F238E27FC236}">
                    <a16:creationId xmlns:a16="http://schemas.microsoft.com/office/drawing/2014/main" id="{00000000-0008-0000-0C00-00002094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7921" name="Button 33" hidden="1">
                <a:extLst>
                  <a:ext uri="{63B3BB69-23CF-44E3-9099-C40C66FF867C}">
                    <a14:compatExt spid="_x0000_s37921"/>
                  </a:ext>
                  <a:ext uri="{FF2B5EF4-FFF2-40B4-BE49-F238E27FC236}">
                    <a16:creationId xmlns:a16="http://schemas.microsoft.com/office/drawing/2014/main" id="{00000000-0008-0000-0C00-00002194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7923" name="Button 35" hidden="1">
                <a:extLst>
                  <a:ext uri="{63B3BB69-23CF-44E3-9099-C40C66FF867C}">
                    <a14:compatExt spid="_x0000_s37923"/>
                  </a:ext>
                  <a:ext uri="{FF2B5EF4-FFF2-40B4-BE49-F238E27FC236}">
                    <a16:creationId xmlns:a16="http://schemas.microsoft.com/office/drawing/2014/main" id="{00000000-0008-0000-0C00-000023940000}"/>
                  </a:ext>
                </a:extLst>
              </xdr:cNvPr>
              <xdr:cNvSpPr/>
            </xdr:nvSpPr>
            <xdr:spPr bwMode="auto">
              <a:xfrm>
                <a:off x="8573006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7924" name="Button 36" hidden="1">
                <a:extLst>
                  <a:ext uri="{63B3BB69-23CF-44E3-9099-C40C66FF867C}">
                    <a14:compatExt spid="_x0000_s37924"/>
                  </a:ext>
                  <a:ext uri="{FF2B5EF4-FFF2-40B4-BE49-F238E27FC236}">
                    <a16:creationId xmlns:a16="http://schemas.microsoft.com/office/drawing/2014/main" id="{00000000-0008-0000-0C00-000024940000}"/>
                  </a:ext>
                </a:extLst>
              </xdr:cNvPr>
              <xdr:cNvSpPr/>
            </xdr:nvSpPr>
            <xdr:spPr bwMode="auto">
              <a:xfrm>
                <a:off x="9746365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7925" name="Button 37" hidden="1">
                <a:extLst>
                  <a:ext uri="{63B3BB69-23CF-44E3-9099-C40C66FF867C}">
                    <a14:compatExt spid="_x0000_s37925"/>
                  </a:ext>
                  <a:ext uri="{FF2B5EF4-FFF2-40B4-BE49-F238E27FC236}">
                    <a16:creationId xmlns:a16="http://schemas.microsoft.com/office/drawing/2014/main" id="{00000000-0008-0000-0C00-000025940000}"/>
                  </a:ext>
                </a:extLst>
              </xdr:cNvPr>
              <xdr:cNvSpPr/>
            </xdr:nvSpPr>
            <xdr:spPr bwMode="auto">
              <a:xfrm>
                <a:off x="10917380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7926" name="Button 38" hidden="1">
                <a:extLst>
                  <a:ext uri="{63B3BB69-23CF-44E3-9099-C40C66FF867C}">
                    <a14:compatExt spid="_x0000_s37926"/>
                  </a:ext>
                  <a:ext uri="{FF2B5EF4-FFF2-40B4-BE49-F238E27FC236}">
                    <a16:creationId xmlns:a16="http://schemas.microsoft.com/office/drawing/2014/main" id="{00000000-0008-0000-0C00-000026940000}"/>
                  </a:ext>
                </a:extLst>
              </xdr:cNvPr>
              <xdr:cNvSpPr/>
            </xdr:nvSpPr>
            <xdr:spPr bwMode="auto">
              <a:xfrm>
                <a:off x="12105205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99172</xdr:rowOff>
    </xdr:from>
    <xdr:to>
      <xdr:col>1</xdr:col>
      <xdr:colOff>857250</xdr:colOff>
      <xdr:row>31</xdr:row>
      <xdr:rowOff>51547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0" y="1399054"/>
          <a:ext cx="1861297" cy="4793317"/>
          <a:chOff x="57150" y="962025"/>
          <a:chExt cx="1843368" cy="509587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OS/OP">
                <a:extLst>
                  <a:ext uri="{FF2B5EF4-FFF2-40B4-BE49-F238E27FC236}">
                    <a16:creationId xmlns:a16="http://schemas.microsoft.com/office/drawing/2014/main" id="{00000000-0008-0000-0D00-000002000000}"/>
                  </a:ext>
                </a:extLst>
              </xdr:cNvPr>
              <xdr:cNvGraphicFramePr/>
            </xdr:nvGraphicFramePr>
            <xdr:xfrm>
              <a:off x="76200" y="962025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OS/OP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9050" y="1421466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MÊS 1">
                <a:extLst>
                  <a:ext uri="{FF2B5EF4-FFF2-40B4-BE49-F238E27FC236}">
                    <a16:creationId xmlns:a16="http://schemas.microsoft.com/office/drawing/2014/main" id="{00000000-0008-0000-0D00-000003000000}"/>
                  </a:ext>
                </a:extLst>
              </xdr:cNvPr>
              <xdr:cNvGraphicFramePr/>
            </xdr:nvGraphicFramePr>
            <xdr:xfrm>
              <a:off x="57150" y="3533775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MÊS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3993216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33617</xdr:colOff>
      <xdr:row>1</xdr:row>
      <xdr:rowOff>33618</xdr:rowOff>
    </xdr:from>
    <xdr:to>
      <xdr:col>2</xdr:col>
      <xdr:colOff>466164</xdr:colOff>
      <xdr:row>1</xdr:row>
      <xdr:rowOff>280147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33617" y="672353"/>
          <a:ext cx="2404782" cy="2465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DESLOCAMENTO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12</xdr:col>
          <xdr:colOff>392207</xdr:colOff>
          <xdr:row>0</xdr:row>
          <xdr:rowOff>405093</xdr:rowOff>
        </xdr:to>
        <xdr:grpSp>
          <xdr:nvGrpSpPr>
            <xdr:cNvPr id="99" name="Grupo 98">
              <a:extLst>
                <a:ext uri="{FF2B5EF4-FFF2-40B4-BE49-F238E27FC236}">
                  <a16:creationId xmlns:a16="http://schemas.microsoft.com/office/drawing/2014/main" id="{00000000-0008-0000-0D00-000063000000}"/>
                </a:ext>
              </a:extLst>
            </xdr:cNvPr>
            <xdr:cNvGrpSpPr/>
          </xdr:nvGrpSpPr>
          <xdr:grpSpPr>
            <a:xfrm>
              <a:off x="2026024" y="0"/>
              <a:ext cx="11517407" cy="405093"/>
              <a:chOff x="1167093" y="88527"/>
              <a:chExt cx="12075510" cy="405093"/>
            </a:xfrm>
          </xdr:grpSpPr>
          <xdr:sp macro="" textlink="">
            <xdr:nvSpPr>
              <xdr:cNvPr id="38999" name="Button 87" hidden="1">
                <a:extLst>
                  <a:ext uri="{63B3BB69-23CF-44E3-9099-C40C66FF867C}">
                    <a14:compatExt spid="_x0000_s38999"/>
                  </a:ext>
                  <a:ext uri="{FF2B5EF4-FFF2-40B4-BE49-F238E27FC236}">
                    <a16:creationId xmlns:a16="http://schemas.microsoft.com/office/drawing/2014/main" id="{00000000-0008-0000-0D00-0000579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9000" name="Button 88" hidden="1">
                <a:extLst>
                  <a:ext uri="{63B3BB69-23CF-44E3-9099-C40C66FF867C}">
                    <a14:compatExt spid="_x0000_s39000"/>
                  </a:ext>
                  <a:ext uri="{FF2B5EF4-FFF2-40B4-BE49-F238E27FC236}">
                    <a16:creationId xmlns:a16="http://schemas.microsoft.com/office/drawing/2014/main" id="{00000000-0008-0000-0D00-0000589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9001" name="Button 89" hidden="1">
                <a:extLst>
                  <a:ext uri="{63B3BB69-23CF-44E3-9099-C40C66FF867C}">
                    <a14:compatExt spid="_x0000_s39001"/>
                  </a:ext>
                  <a:ext uri="{FF2B5EF4-FFF2-40B4-BE49-F238E27FC236}">
                    <a16:creationId xmlns:a16="http://schemas.microsoft.com/office/drawing/2014/main" id="{00000000-0008-0000-0D00-000059980000}"/>
                  </a:ext>
                </a:extLst>
              </xdr:cNvPr>
              <xdr:cNvSpPr/>
            </xdr:nvSpPr>
            <xdr:spPr bwMode="auto">
              <a:xfrm>
                <a:off x="323921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39002" name="Button 90" hidden="1">
                <a:extLst>
                  <a:ext uri="{63B3BB69-23CF-44E3-9099-C40C66FF867C}">
                    <a14:compatExt spid="_x0000_s39002"/>
                  </a:ext>
                  <a:ext uri="{FF2B5EF4-FFF2-40B4-BE49-F238E27FC236}">
                    <a16:creationId xmlns:a16="http://schemas.microsoft.com/office/drawing/2014/main" id="{00000000-0008-0000-0D00-00005A9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9003" name="Button 91" hidden="1">
                <a:extLst>
                  <a:ext uri="{63B3BB69-23CF-44E3-9099-C40C66FF867C}">
                    <a14:compatExt spid="_x0000_s39003"/>
                  </a:ext>
                  <a:ext uri="{FF2B5EF4-FFF2-40B4-BE49-F238E27FC236}">
                    <a16:creationId xmlns:a16="http://schemas.microsoft.com/office/drawing/2014/main" id="{00000000-0008-0000-0D00-00005B98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9004" name="Button 92" hidden="1">
                <a:extLst>
                  <a:ext uri="{63B3BB69-23CF-44E3-9099-C40C66FF867C}">
                    <a14:compatExt spid="_x0000_s39004"/>
                  </a:ext>
                  <a:ext uri="{FF2B5EF4-FFF2-40B4-BE49-F238E27FC236}">
                    <a16:creationId xmlns:a16="http://schemas.microsoft.com/office/drawing/2014/main" id="{00000000-0008-0000-0D00-00005C9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9005" name="Button 93" hidden="1">
                <a:extLst>
                  <a:ext uri="{63B3BB69-23CF-44E3-9099-C40C66FF867C}">
                    <a14:compatExt spid="_x0000_s39005"/>
                  </a:ext>
                  <a:ext uri="{FF2B5EF4-FFF2-40B4-BE49-F238E27FC236}">
                    <a16:creationId xmlns:a16="http://schemas.microsoft.com/office/drawing/2014/main" id="{00000000-0008-0000-0D00-00005D9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9007" name="Button 95" hidden="1">
                <a:extLst>
                  <a:ext uri="{63B3BB69-23CF-44E3-9099-C40C66FF867C}">
                    <a14:compatExt spid="_x0000_s39007"/>
                  </a:ext>
                  <a:ext uri="{FF2B5EF4-FFF2-40B4-BE49-F238E27FC236}">
                    <a16:creationId xmlns:a16="http://schemas.microsoft.com/office/drawing/2014/main" id="{00000000-0008-0000-0D00-00005F980000}"/>
                  </a:ext>
                </a:extLst>
              </xdr:cNvPr>
              <xdr:cNvSpPr/>
            </xdr:nvSpPr>
            <xdr:spPr bwMode="auto">
              <a:xfrm>
                <a:off x="8573007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9008" name="Button 96" hidden="1">
                <a:extLst>
                  <a:ext uri="{63B3BB69-23CF-44E3-9099-C40C66FF867C}">
                    <a14:compatExt spid="_x0000_s39008"/>
                  </a:ext>
                  <a:ext uri="{FF2B5EF4-FFF2-40B4-BE49-F238E27FC236}">
                    <a16:creationId xmlns:a16="http://schemas.microsoft.com/office/drawing/2014/main" id="{00000000-0008-0000-0D00-000060980000}"/>
                  </a:ext>
                </a:extLst>
              </xdr:cNvPr>
              <xdr:cNvSpPr/>
            </xdr:nvSpPr>
            <xdr:spPr bwMode="auto">
              <a:xfrm>
                <a:off x="9746366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9009" name="Button 97" hidden="1">
                <a:extLst>
                  <a:ext uri="{63B3BB69-23CF-44E3-9099-C40C66FF867C}">
                    <a14:compatExt spid="_x0000_s39009"/>
                  </a:ext>
                  <a:ext uri="{FF2B5EF4-FFF2-40B4-BE49-F238E27FC236}">
                    <a16:creationId xmlns:a16="http://schemas.microsoft.com/office/drawing/2014/main" id="{00000000-0008-0000-0D00-000061980000}"/>
                  </a:ext>
                </a:extLst>
              </xdr:cNvPr>
              <xdr:cNvSpPr/>
            </xdr:nvSpPr>
            <xdr:spPr bwMode="auto">
              <a:xfrm>
                <a:off x="1091738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9010" name="Button 98" hidden="1">
                <a:extLst>
                  <a:ext uri="{63B3BB69-23CF-44E3-9099-C40C66FF867C}">
                    <a14:compatExt spid="_x0000_s39010"/>
                  </a:ext>
                  <a:ext uri="{FF2B5EF4-FFF2-40B4-BE49-F238E27FC236}">
                    <a16:creationId xmlns:a16="http://schemas.microsoft.com/office/drawing/2014/main" id="{00000000-0008-0000-0D00-000062980000}"/>
                  </a:ext>
                </a:extLst>
              </xdr:cNvPr>
              <xdr:cNvSpPr/>
            </xdr:nvSpPr>
            <xdr:spPr bwMode="auto">
              <a:xfrm>
                <a:off x="12105206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56029</xdr:colOff>
      <xdr:row>1</xdr:row>
      <xdr:rowOff>44824</xdr:rowOff>
    </xdr:from>
    <xdr:to>
      <xdr:col>2</xdr:col>
      <xdr:colOff>470085</xdr:colOff>
      <xdr:row>1</xdr:row>
      <xdr:rowOff>291353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56029" y="683559"/>
          <a:ext cx="2397497" cy="2465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DESPESAS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41182</xdr:colOff>
      <xdr:row>3</xdr:row>
      <xdr:rowOff>1</xdr:rowOff>
    </xdr:from>
    <xdr:to>
      <xdr:col>1</xdr:col>
      <xdr:colOff>872658</xdr:colOff>
      <xdr:row>44</xdr:row>
      <xdr:rowOff>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1182" y="1120589"/>
          <a:ext cx="1862417" cy="7351058"/>
          <a:chOff x="74800" y="2935942"/>
          <a:chExt cx="1828800" cy="7810499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OS/OP 1">
                <a:extLst>
                  <a:ext uri="{FF2B5EF4-FFF2-40B4-BE49-F238E27FC236}">
                    <a16:creationId xmlns:a16="http://schemas.microsoft.com/office/drawing/2014/main" id="{00000000-0008-0000-0E00-000002000000}"/>
                  </a:ext>
                </a:extLst>
              </xdr:cNvPr>
              <xdr:cNvGraphicFramePr/>
            </xdr:nvGraphicFramePr>
            <xdr:xfrm>
              <a:off x="77041" y="7573951"/>
              <a:ext cx="1824318" cy="1499788"/>
            </xdr:xfrm>
            <a:graphic>
              <a:graphicData uri="http://schemas.microsoft.com/office/drawing/2010/slicer">
                <sle:slicer xmlns:sle="http://schemas.microsoft.com/office/drawing/2010/slicer" name="OS/OP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3423" y="5467245"/>
                <a:ext cx="1824318" cy="149978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FUNCIONARIO 1">
                <a:extLst>
                  <a:ext uri="{FF2B5EF4-FFF2-40B4-BE49-F238E27FC236}">
                    <a16:creationId xmlns:a16="http://schemas.microsoft.com/office/drawing/2014/main" id="{00000000-0008-0000-0E00-000003000000}"/>
                  </a:ext>
                </a:extLst>
              </xdr:cNvPr>
              <xdr:cNvGraphicFramePr/>
            </xdr:nvGraphicFramePr>
            <xdr:xfrm>
              <a:off x="77041" y="5963331"/>
              <a:ext cx="1824318" cy="1461016"/>
            </xdr:xfrm>
            <a:graphic>
              <a:graphicData uri="http://schemas.microsoft.com/office/drawing/2010/slicer">
                <sle:slicer xmlns:sle="http://schemas.microsoft.com/office/drawing/2010/slicer" name="FUNCIONARI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3423" y="3856625"/>
                <a:ext cx="1824318" cy="14610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CLASSIFICAÇÃO">
                <a:extLst>
                  <a:ext uri="{FF2B5EF4-FFF2-40B4-BE49-F238E27FC236}">
                    <a16:creationId xmlns:a16="http://schemas.microsoft.com/office/drawing/2014/main" id="{00000000-0008-0000-0E00-000004000000}"/>
                  </a:ext>
                </a:extLst>
              </xdr:cNvPr>
              <xdr:cNvGraphicFramePr/>
            </xdr:nvGraphicFramePr>
            <xdr:xfrm>
              <a:off x="77041" y="9223342"/>
              <a:ext cx="1824318" cy="1523099"/>
            </xdr:xfrm>
            <a:graphic>
              <a:graphicData uri="http://schemas.microsoft.com/office/drawing/2010/slicer">
                <sle:slicer xmlns:sle="http://schemas.microsoft.com/office/drawing/2010/slicer" name="CLASSIFICAÇÃ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3423" y="7116636"/>
                <a:ext cx="1824318" cy="15230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MÊS 2">
                <a:extLst>
                  <a:ext uri="{FF2B5EF4-FFF2-40B4-BE49-F238E27FC236}">
                    <a16:creationId xmlns:a16="http://schemas.microsoft.com/office/drawing/2014/main" id="{00000000-0008-0000-0E00-000005000000}"/>
                  </a:ext>
                </a:extLst>
              </xdr:cNvPr>
              <xdr:cNvGraphicFramePr/>
            </xdr:nvGraphicFramePr>
            <xdr:xfrm>
              <a:off x="77041" y="2935942"/>
              <a:ext cx="1824318" cy="1333500"/>
            </xdr:xfrm>
            <a:graphic>
              <a:graphicData uri="http://schemas.microsoft.com/office/drawing/2010/slicer">
                <sle:slicer xmlns:sle="http://schemas.microsoft.com/office/drawing/2010/slicer" name="MÊS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3423" y="829236"/>
                <a:ext cx="1824318" cy="13335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REEMBOLSAR?">
                <a:extLst>
                  <a:ext uri="{FF2B5EF4-FFF2-40B4-BE49-F238E27FC236}">
                    <a16:creationId xmlns:a16="http://schemas.microsoft.com/office/drawing/2014/main" id="{00000000-0008-0000-0E00-000008000000}"/>
                  </a:ext>
                </a:extLst>
              </xdr:cNvPr>
              <xdr:cNvGraphicFramePr/>
            </xdr:nvGraphicFramePr>
            <xdr:xfrm>
              <a:off x="74800" y="4419045"/>
              <a:ext cx="1828800" cy="1394682"/>
            </xdr:xfrm>
            <a:graphic>
              <a:graphicData uri="http://schemas.microsoft.com/office/drawing/2010/slicer">
                <sle:slicer xmlns:sle="http://schemas.microsoft.com/office/drawing/2010/slicer" name="REEMBOLSAR?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1182" y="2312339"/>
                <a:ext cx="1828800" cy="139468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2</xdr:col>
      <xdr:colOff>63500</xdr:colOff>
      <xdr:row>3</xdr:row>
      <xdr:rowOff>11206</xdr:rowOff>
    </xdr:from>
    <xdr:to>
      <xdr:col>12</xdr:col>
      <xdr:colOff>1444625</xdr:colOff>
      <xdr:row>7</xdr:row>
      <xdr:rowOff>80681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/>
      </xdr:nvSpPr>
      <xdr:spPr>
        <a:xfrm>
          <a:off x="2047875" y="836706"/>
          <a:ext cx="11715750" cy="83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NOME</a:t>
          </a: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EMPRESA 01</a:t>
          </a:r>
          <a:b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ENDEREÇO</a:t>
          </a:r>
          <a:endParaRPr lang="pt-BR">
            <a:effectLst/>
          </a:endParaRPr>
        </a:p>
        <a:p>
          <a:endParaRPr lang="pt-BR" sz="1100"/>
        </a:p>
      </xdr:txBody>
    </xdr:sp>
    <xdr:clientData/>
  </xdr:twoCellAnchor>
  <xdr:oneCellAnchor>
    <xdr:from>
      <xdr:col>10</xdr:col>
      <xdr:colOff>33616</xdr:colOff>
      <xdr:row>3</xdr:row>
      <xdr:rowOff>145676</xdr:rowOff>
    </xdr:from>
    <xdr:ext cx="2785215" cy="609013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/>
      </xdr:nvSpPr>
      <xdr:spPr>
        <a:xfrm flipH="1">
          <a:off x="10219763" y="974911"/>
          <a:ext cx="2785215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ASS.</a:t>
          </a:r>
          <a:r>
            <a:rPr lang="pt-BR" sz="1100" baseline="0"/>
            <a:t> SOLICITANTE:</a:t>
          </a:r>
        </a:p>
        <a:p>
          <a:endParaRPr lang="pt-BR" sz="1100" baseline="0"/>
        </a:p>
        <a:p>
          <a:r>
            <a:rPr lang="pt-BR" sz="1100" baseline="0"/>
            <a:t>ASS. APROVAÇÃO:</a:t>
          </a:r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11</xdr:col>
          <xdr:colOff>896471</xdr:colOff>
          <xdr:row>0</xdr:row>
          <xdr:rowOff>405093</xdr:rowOff>
        </xdr:to>
        <xdr:grpSp>
          <xdr:nvGrpSpPr>
            <xdr:cNvPr id="40" name="Grupo 39">
              <a:extLst>
                <a:ext uri="{FF2B5EF4-FFF2-40B4-BE49-F238E27FC236}">
                  <a16:creationId xmlns:a16="http://schemas.microsoft.com/office/drawing/2014/main" id="{00000000-0008-0000-0E00-000028000000}"/>
                </a:ext>
              </a:extLst>
            </xdr:cNvPr>
            <xdr:cNvGrpSpPr/>
          </xdr:nvGrpSpPr>
          <xdr:grpSpPr>
            <a:xfrm>
              <a:off x="2034988" y="0"/>
              <a:ext cx="11430001" cy="405093"/>
              <a:chOff x="1167094" y="88527"/>
              <a:chExt cx="12065708" cy="405093"/>
            </a:xfrm>
          </xdr:grpSpPr>
          <xdr:sp macro="" textlink="">
            <xdr:nvSpPr>
              <xdr:cNvPr id="39963" name="Button 27" hidden="1">
                <a:extLst>
                  <a:ext uri="{63B3BB69-23CF-44E3-9099-C40C66FF867C}">
                    <a14:compatExt spid="_x0000_s39963"/>
                  </a:ext>
                  <a:ext uri="{FF2B5EF4-FFF2-40B4-BE49-F238E27FC236}">
                    <a16:creationId xmlns:a16="http://schemas.microsoft.com/office/drawing/2014/main" id="{00000000-0008-0000-0E00-00001B9C0000}"/>
                  </a:ext>
                </a:extLst>
              </xdr:cNvPr>
              <xdr:cNvSpPr/>
            </xdr:nvSpPr>
            <xdr:spPr bwMode="auto">
              <a:xfrm>
                <a:off x="116709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39964" name="Button 28" hidden="1">
                <a:extLst>
                  <a:ext uri="{63B3BB69-23CF-44E3-9099-C40C66FF867C}">
                    <a14:compatExt spid="_x0000_s39964"/>
                  </a:ext>
                  <a:ext uri="{FF2B5EF4-FFF2-40B4-BE49-F238E27FC236}">
                    <a16:creationId xmlns:a16="http://schemas.microsoft.com/office/drawing/2014/main" id="{00000000-0008-0000-0E00-00001C9C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9965" name="Button 29" hidden="1">
                <a:extLst>
                  <a:ext uri="{63B3BB69-23CF-44E3-9099-C40C66FF867C}">
                    <a14:compatExt spid="_x0000_s39965"/>
                  </a:ext>
                  <a:ext uri="{FF2B5EF4-FFF2-40B4-BE49-F238E27FC236}">
                    <a16:creationId xmlns:a16="http://schemas.microsoft.com/office/drawing/2014/main" id="{00000000-0008-0000-0E00-00001D9C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39966" name="Button 30" hidden="1">
                <a:extLst>
                  <a:ext uri="{63B3BB69-23CF-44E3-9099-C40C66FF867C}">
                    <a14:compatExt spid="_x0000_s39966"/>
                  </a:ext>
                  <a:ext uri="{FF2B5EF4-FFF2-40B4-BE49-F238E27FC236}">
                    <a16:creationId xmlns:a16="http://schemas.microsoft.com/office/drawing/2014/main" id="{00000000-0008-0000-0E00-00001E9C0000}"/>
                  </a:ext>
                </a:extLst>
              </xdr:cNvPr>
              <xdr:cNvSpPr/>
            </xdr:nvSpPr>
            <xdr:spPr bwMode="auto">
              <a:xfrm>
                <a:off x="4304758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39967" name="Button 31" hidden="1">
                <a:extLst>
                  <a:ext uri="{63B3BB69-23CF-44E3-9099-C40C66FF867C}">
                    <a14:compatExt spid="_x0000_s39967"/>
                  </a:ext>
                  <a:ext uri="{FF2B5EF4-FFF2-40B4-BE49-F238E27FC236}">
                    <a16:creationId xmlns:a16="http://schemas.microsoft.com/office/drawing/2014/main" id="{00000000-0008-0000-0E00-00001F9C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39968" name="Button 32" hidden="1">
                <a:extLst>
                  <a:ext uri="{63B3BB69-23CF-44E3-9099-C40C66FF867C}">
                    <a14:compatExt spid="_x0000_s39968"/>
                  </a:ext>
                  <a:ext uri="{FF2B5EF4-FFF2-40B4-BE49-F238E27FC236}">
                    <a16:creationId xmlns:a16="http://schemas.microsoft.com/office/drawing/2014/main" id="{00000000-0008-0000-0E00-0000209C0000}"/>
                  </a:ext>
                </a:extLst>
              </xdr:cNvPr>
              <xdr:cNvSpPr/>
            </xdr:nvSpPr>
            <xdr:spPr bwMode="auto">
              <a:xfrm>
                <a:off x="643584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39969" name="Button 33" hidden="1">
                <a:extLst>
                  <a:ext uri="{63B3BB69-23CF-44E3-9099-C40C66FF867C}">
                    <a14:compatExt spid="_x0000_s39969"/>
                  </a:ext>
                  <a:ext uri="{FF2B5EF4-FFF2-40B4-BE49-F238E27FC236}">
                    <a16:creationId xmlns:a16="http://schemas.microsoft.com/office/drawing/2014/main" id="{00000000-0008-0000-0E00-0000219C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39971" name="Button 35" hidden="1">
                <a:extLst>
                  <a:ext uri="{63B3BB69-23CF-44E3-9099-C40C66FF867C}">
                    <a14:compatExt spid="_x0000_s39971"/>
                  </a:ext>
                  <a:ext uri="{FF2B5EF4-FFF2-40B4-BE49-F238E27FC236}">
                    <a16:creationId xmlns:a16="http://schemas.microsoft.com/office/drawing/2014/main" id="{00000000-0008-0000-0E00-0000239C0000}"/>
                  </a:ext>
                </a:extLst>
              </xdr:cNvPr>
              <xdr:cNvSpPr/>
            </xdr:nvSpPr>
            <xdr:spPr bwMode="auto">
              <a:xfrm>
                <a:off x="8563207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39972" name="Button 36" hidden="1">
                <a:extLst>
                  <a:ext uri="{63B3BB69-23CF-44E3-9099-C40C66FF867C}">
                    <a14:compatExt spid="_x0000_s39972"/>
                  </a:ext>
                  <a:ext uri="{FF2B5EF4-FFF2-40B4-BE49-F238E27FC236}">
                    <a16:creationId xmlns:a16="http://schemas.microsoft.com/office/drawing/2014/main" id="{00000000-0008-0000-0E00-0000249C0000}"/>
                  </a:ext>
                </a:extLst>
              </xdr:cNvPr>
              <xdr:cNvSpPr/>
            </xdr:nvSpPr>
            <xdr:spPr bwMode="auto">
              <a:xfrm>
                <a:off x="9736565" y="93570"/>
                <a:ext cx="1132356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39973" name="Button 37" hidden="1">
                <a:extLst>
                  <a:ext uri="{63B3BB69-23CF-44E3-9099-C40C66FF867C}">
                    <a14:compatExt spid="_x0000_s39973"/>
                  </a:ext>
                  <a:ext uri="{FF2B5EF4-FFF2-40B4-BE49-F238E27FC236}">
                    <a16:creationId xmlns:a16="http://schemas.microsoft.com/office/drawing/2014/main" id="{00000000-0008-0000-0E00-0000259C0000}"/>
                  </a:ext>
                </a:extLst>
              </xdr:cNvPr>
              <xdr:cNvSpPr/>
            </xdr:nvSpPr>
            <xdr:spPr bwMode="auto">
              <a:xfrm>
                <a:off x="10907579" y="88527"/>
                <a:ext cx="1137398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39974" name="Button 38" hidden="1">
                <a:extLst>
                  <a:ext uri="{63B3BB69-23CF-44E3-9099-C40C66FF867C}">
                    <a14:compatExt spid="_x0000_s39974"/>
                  </a:ext>
                  <a:ext uri="{FF2B5EF4-FFF2-40B4-BE49-F238E27FC236}">
                    <a16:creationId xmlns:a16="http://schemas.microsoft.com/office/drawing/2014/main" id="{00000000-0008-0000-0E00-0000269C0000}"/>
                  </a:ext>
                </a:extLst>
              </xdr:cNvPr>
              <xdr:cNvSpPr/>
            </xdr:nvSpPr>
            <xdr:spPr bwMode="auto">
              <a:xfrm>
                <a:off x="12095404" y="88527"/>
                <a:ext cx="1137398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5603</xdr:colOff>
      <xdr:row>3</xdr:row>
      <xdr:rowOff>33617</xdr:rowOff>
    </xdr:from>
    <xdr:to>
      <xdr:col>1</xdr:col>
      <xdr:colOff>814667</xdr:colOff>
      <xdr:row>47</xdr:row>
      <xdr:rowOff>172756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5603" y="1154205"/>
          <a:ext cx="1866899" cy="8028080"/>
          <a:chOff x="28015" y="862853"/>
          <a:chExt cx="1840005" cy="8521139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CLIENTE INTERNO 2">
                <a:extLst>
                  <a:ext uri="{FF2B5EF4-FFF2-40B4-BE49-F238E27FC236}">
                    <a16:creationId xmlns:a16="http://schemas.microsoft.com/office/drawing/2014/main" id="{00000000-0008-0000-0F00-000003000000}"/>
                  </a:ext>
                </a:extLst>
              </xdr:cNvPr>
              <xdr:cNvGraphicFramePr/>
            </xdr:nvGraphicFramePr>
            <xdr:xfrm>
              <a:off x="28015" y="862853"/>
              <a:ext cx="1828800" cy="1501588"/>
            </xdr:xfrm>
            <a:graphic>
              <a:graphicData uri="http://schemas.microsoft.com/office/drawing/2010/slicer">
                <sle:slicer xmlns:sle="http://schemas.microsoft.com/office/drawing/2010/slicer" name="CLIENTE INTERNO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603" y="1165411"/>
                <a:ext cx="1828800" cy="150158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VENDEDOR 2">
                <a:extLst>
                  <a:ext uri="{FF2B5EF4-FFF2-40B4-BE49-F238E27FC236}">
                    <a16:creationId xmlns:a16="http://schemas.microsoft.com/office/drawing/2014/main" id="{00000000-0008-0000-0F00-000004000000}"/>
                  </a:ext>
                </a:extLst>
              </xdr:cNvPr>
              <xdr:cNvGraphicFramePr/>
            </xdr:nvGraphicFramePr>
            <xdr:xfrm>
              <a:off x="33617" y="4305548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VENDEDOR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205" y="4608106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STATUS 1">
                <a:extLst>
                  <a:ext uri="{FF2B5EF4-FFF2-40B4-BE49-F238E27FC236}">
                    <a16:creationId xmlns:a16="http://schemas.microsoft.com/office/drawing/2014/main" id="{00000000-0008-0000-0F00-000005000000}"/>
                  </a:ext>
                </a:extLst>
              </xdr:cNvPr>
              <xdr:cNvGraphicFramePr/>
            </xdr:nvGraphicFramePr>
            <xdr:xfrm>
              <a:off x="39220" y="2412378"/>
              <a:ext cx="1828800" cy="1834652"/>
            </xdr:xfrm>
            <a:graphic>
              <a:graphicData uri="http://schemas.microsoft.com/office/drawing/2010/slicer">
                <sle:slicer xmlns:sle="http://schemas.microsoft.com/office/drawing/2010/slicer" name="STATUS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6808" y="2714936"/>
                <a:ext cx="1828800" cy="183465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ÊS FAT. 1">
                <a:extLst>
                  <a:ext uri="{FF2B5EF4-FFF2-40B4-BE49-F238E27FC236}">
                    <a16:creationId xmlns:a16="http://schemas.microsoft.com/office/drawing/2014/main" id="{00000000-0008-0000-0F00-000006000000}"/>
                  </a:ext>
                </a:extLst>
              </xdr:cNvPr>
              <xdr:cNvGraphicFramePr/>
            </xdr:nvGraphicFramePr>
            <xdr:xfrm>
              <a:off x="33618" y="6859867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ÊS FAT.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206" y="7162425"/>
                <a:ext cx="1828800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67236</xdr:colOff>
      <xdr:row>1</xdr:row>
      <xdr:rowOff>67235</xdr:rowOff>
    </xdr:from>
    <xdr:to>
      <xdr:col>3</xdr:col>
      <xdr:colOff>806823</xdr:colOff>
      <xdr:row>1</xdr:row>
      <xdr:rowOff>291353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67236" y="705970"/>
          <a:ext cx="3417793" cy="22411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ORDENS DE PRODUÇÃO </a:t>
          </a:r>
          <a:r>
            <a:rPr lang="pt-BR" sz="1100" b="1" u="sng" baseline="0">
              <a:solidFill>
                <a:srgbClr val="FFFF00"/>
              </a:solidFill>
            </a:rPr>
            <a:t>- EXTRA</a:t>
          </a:r>
          <a:endParaRPr lang="pt-BR" sz="1100" b="1" u="sng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10</xdr:col>
          <xdr:colOff>1008529</xdr:colOff>
          <xdr:row>0</xdr:row>
          <xdr:rowOff>405093</xdr:rowOff>
        </xdr:to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0F00-000024000000}"/>
                </a:ext>
              </a:extLst>
            </xdr:cNvPr>
            <xdr:cNvGrpSpPr/>
          </xdr:nvGrpSpPr>
          <xdr:grpSpPr>
            <a:xfrm>
              <a:off x="2017059" y="0"/>
              <a:ext cx="12564035" cy="405093"/>
              <a:chOff x="1167093" y="88527"/>
              <a:chExt cx="13134975" cy="405093"/>
            </a:xfrm>
          </xdr:grpSpPr>
          <xdr:sp macro="" textlink="">
            <xdr:nvSpPr>
              <xdr:cNvPr id="43035" name="Button 27" hidden="1">
                <a:extLst>
                  <a:ext uri="{63B3BB69-23CF-44E3-9099-C40C66FF867C}">
                    <a14:compatExt spid="_x0000_s43035"/>
                  </a:ext>
                  <a:ext uri="{FF2B5EF4-FFF2-40B4-BE49-F238E27FC236}">
                    <a16:creationId xmlns:a16="http://schemas.microsoft.com/office/drawing/2014/main" id="{00000000-0008-0000-0F00-00001BA8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43036" name="Button 28" hidden="1">
                <a:extLst>
                  <a:ext uri="{63B3BB69-23CF-44E3-9099-C40C66FF867C}">
                    <a14:compatExt spid="_x0000_s43036"/>
                  </a:ext>
                  <a:ext uri="{FF2B5EF4-FFF2-40B4-BE49-F238E27FC236}">
                    <a16:creationId xmlns:a16="http://schemas.microsoft.com/office/drawing/2014/main" id="{00000000-0008-0000-0F00-00001CA8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3037" name="Button 29" hidden="1">
                <a:extLst>
                  <a:ext uri="{63B3BB69-23CF-44E3-9099-C40C66FF867C}">
                    <a14:compatExt spid="_x0000_s43037"/>
                  </a:ext>
                  <a:ext uri="{FF2B5EF4-FFF2-40B4-BE49-F238E27FC236}">
                    <a16:creationId xmlns:a16="http://schemas.microsoft.com/office/drawing/2014/main" id="{00000000-0008-0000-0F00-00001DA8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43038" name="Button 30" hidden="1">
                <a:extLst>
                  <a:ext uri="{63B3BB69-23CF-44E3-9099-C40C66FF867C}">
                    <a14:compatExt spid="_x0000_s43038"/>
                  </a:ext>
                  <a:ext uri="{FF2B5EF4-FFF2-40B4-BE49-F238E27FC236}">
                    <a16:creationId xmlns:a16="http://schemas.microsoft.com/office/drawing/2014/main" id="{00000000-0008-0000-0F00-00001EA8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43039" name="Button 31" hidden="1">
                <a:extLst>
                  <a:ext uri="{63B3BB69-23CF-44E3-9099-C40C66FF867C}">
                    <a14:compatExt spid="_x0000_s43039"/>
                  </a:ext>
                  <a:ext uri="{FF2B5EF4-FFF2-40B4-BE49-F238E27FC236}">
                    <a16:creationId xmlns:a16="http://schemas.microsoft.com/office/drawing/2014/main" id="{00000000-0008-0000-0F00-00001FA8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43040" name="Button 32" hidden="1">
                <a:extLst>
                  <a:ext uri="{63B3BB69-23CF-44E3-9099-C40C66FF867C}">
                    <a14:compatExt spid="_x0000_s43040"/>
                  </a:ext>
                  <a:ext uri="{FF2B5EF4-FFF2-40B4-BE49-F238E27FC236}">
                    <a16:creationId xmlns:a16="http://schemas.microsoft.com/office/drawing/2014/main" id="{00000000-0008-0000-0F00-000020A8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43041" name="Button 33" hidden="1">
                <a:extLst>
                  <a:ext uri="{63B3BB69-23CF-44E3-9099-C40C66FF867C}">
                    <a14:compatExt spid="_x0000_s43041"/>
                  </a:ext>
                  <a:ext uri="{FF2B5EF4-FFF2-40B4-BE49-F238E27FC236}">
                    <a16:creationId xmlns:a16="http://schemas.microsoft.com/office/drawing/2014/main" id="{00000000-0008-0000-0F00-000021A8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43042" name="Button 34" hidden="1">
                <a:extLst>
                  <a:ext uri="{63B3BB69-23CF-44E3-9099-C40C66FF867C}">
                    <a14:compatExt spid="_x0000_s43042"/>
                  </a:ext>
                  <a:ext uri="{FF2B5EF4-FFF2-40B4-BE49-F238E27FC236}">
                    <a16:creationId xmlns:a16="http://schemas.microsoft.com/office/drawing/2014/main" id="{00000000-0008-0000-0F00-000022A80000}"/>
                  </a:ext>
                </a:extLst>
              </xdr:cNvPr>
              <xdr:cNvSpPr/>
            </xdr:nvSpPr>
            <xdr:spPr bwMode="auto">
              <a:xfrm>
                <a:off x="8566931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OP EXTRA</a:t>
                </a:r>
              </a:p>
            </xdr:txBody>
          </xdr:sp>
          <xdr:sp macro="" textlink="">
            <xdr:nvSpPr>
              <xdr:cNvPr id="43043" name="Button 35" hidden="1">
                <a:extLst>
                  <a:ext uri="{63B3BB69-23CF-44E3-9099-C40C66FF867C}">
                    <a14:compatExt spid="_x0000_s43043"/>
                  </a:ext>
                  <a:ext uri="{FF2B5EF4-FFF2-40B4-BE49-F238E27FC236}">
                    <a16:creationId xmlns:a16="http://schemas.microsoft.com/office/drawing/2014/main" id="{00000000-0008-0000-0F00-000023A80000}"/>
                  </a:ext>
                </a:extLst>
              </xdr:cNvPr>
              <xdr:cNvSpPr/>
            </xdr:nvSpPr>
            <xdr:spPr bwMode="auto">
              <a:xfrm>
                <a:off x="9632473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43044" name="Button 36" hidden="1">
                <a:extLst>
                  <a:ext uri="{63B3BB69-23CF-44E3-9099-C40C66FF867C}">
                    <a14:compatExt spid="_x0000_s43044"/>
                  </a:ext>
                  <a:ext uri="{FF2B5EF4-FFF2-40B4-BE49-F238E27FC236}">
                    <a16:creationId xmlns:a16="http://schemas.microsoft.com/office/drawing/2014/main" id="{00000000-0008-0000-0F00-000024A80000}"/>
                  </a:ext>
                </a:extLst>
              </xdr:cNvPr>
              <xdr:cNvSpPr/>
            </xdr:nvSpPr>
            <xdr:spPr bwMode="auto">
              <a:xfrm>
                <a:off x="10805832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43045" name="Button 37" hidden="1">
                <a:extLst>
                  <a:ext uri="{63B3BB69-23CF-44E3-9099-C40C66FF867C}">
                    <a14:compatExt spid="_x0000_s43045"/>
                  </a:ext>
                  <a:ext uri="{FF2B5EF4-FFF2-40B4-BE49-F238E27FC236}">
                    <a16:creationId xmlns:a16="http://schemas.microsoft.com/office/drawing/2014/main" id="{00000000-0008-0000-0F00-000025A80000}"/>
                  </a:ext>
                </a:extLst>
              </xdr:cNvPr>
              <xdr:cNvSpPr/>
            </xdr:nvSpPr>
            <xdr:spPr bwMode="auto">
              <a:xfrm>
                <a:off x="1197684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3046" name="Button 38" hidden="1">
                <a:extLst>
                  <a:ext uri="{63B3BB69-23CF-44E3-9099-C40C66FF867C}">
                    <a14:compatExt spid="_x0000_s43046"/>
                  </a:ext>
                  <a:ext uri="{FF2B5EF4-FFF2-40B4-BE49-F238E27FC236}">
                    <a16:creationId xmlns:a16="http://schemas.microsoft.com/office/drawing/2014/main" id="{00000000-0008-0000-0F00-000026A80000}"/>
                  </a:ext>
                </a:extLst>
              </xdr:cNvPr>
              <xdr:cNvSpPr/>
            </xdr:nvSpPr>
            <xdr:spPr bwMode="auto">
              <a:xfrm>
                <a:off x="1316467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58831</xdr:colOff>
      <xdr:row>4</xdr:row>
      <xdr:rowOff>134471</xdr:rowOff>
    </xdr:from>
    <xdr:to>
      <xdr:col>1</xdr:col>
      <xdr:colOff>906556</xdr:colOff>
      <xdr:row>44</xdr:row>
      <xdr:rowOff>153521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58831" y="1434353"/>
          <a:ext cx="1851772" cy="7190815"/>
          <a:chOff x="47625" y="1524000"/>
          <a:chExt cx="1833843" cy="763905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CLIENTE INTERNO 3">
                <a:extLst>
                  <a:ext uri="{FF2B5EF4-FFF2-40B4-BE49-F238E27FC236}">
                    <a16:creationId xmlns:a16="http://schemas.microsoft.com/office/drawing/2014/main" id="{00000000-0008-0000-1000-000003000000}"/>
                  </a:ext>
                </a:extLst>
              </xdr:cNvPr>
              <xdr:cNvGraphicFramePr/>
            </xdr:nvGraphicFramePr>
            <xdr:xfrm>
              <a:off x="57150" y="1524000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CLIENTE INTERN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356" y="1456765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VENDEDOR 3">
                <a:extLst>
                  <a:ext uri="{FF2B5EF4-FFF2-40B4-BE49-F238E27FC236}">
                    <a16:creationId xmlns:a16="http://schemas.microsoft.com/office/drawing/2014/main" id="{00000000-0008-0000-1000-000004000000}"/>
                  </a:ext>
                </a:extLst>
              </xdr:cNvPr>
              <xdr:cNvGraphicFramePr/>
            </xdr:nvGraphicFramePr>
            <xdr:xfrm>
              <a:off x="47625" y="6638925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VENDEDOR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831" y="6571690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MÊS FATURAMENTO 1">
                <a:extLst>
                  <a:ext uri="{FF2B5EF4-FFF2-40B4-BE49-F238E27FC236}">
                    <a16:creationId xmlns:a16="http://schemas.microsoft.com/office/drawing/2014/main" id="{00000000-0008-0000-1000-000005000000}"/>
                  </a:ext>
                </a:extLst>
              </xdr:cNvPr>
              <xdr:cNvGraphicFramePr/>
            </xdr:nvGraphicFramePr>
            <xdr:xfrm>
              <a:off x="47625" y="4081462"/>
              <a:ext cx="1824318" cy="2524125"/>
            </xdr:xfrm>
            <a:graphic>
              <a:graphicData uri="http://schemas.microsoft.com/office/drawing/2010/slicer">
                <sle:slicer xmlns:sle="http://schemas.microsoft.com/office/drawing/2010/slicer" name="MÊS FATURAMEN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831" y="4014227"/>
                <a:ext cx="182431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twoCellAnchor>
  <xdr:twoCellAnchor>
    <xdr:from>
      <xdr:col>0</xdr:col>
      <xdr:colOff>33618</xdr:colOff>
      <xdr:row>1</xdr:row>
      <xdr:rowOff>44824</xdr:rowOff>
    </xdr:from>
    <xdr:to>
      <xdr:col>3</xdr:col>
      <xdr:colOff>470646</xdr:colOff>
      <xdr:row>1</xdr:row>
      <xdr:rowOff>280147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33618" y="683559"/>
          <a:ext cx="3675528" cy="23532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FATURAMENTO - </a:t>
          </a:r>
          <a:r>
            <a:rPr lang="pt-BR" sz="1100" b="1" u="sng" baseline="0">
              <a:solidFill>
                <a:srgbClr val="FFFF00"/>
              </a:solidFill>
            </a:rPr>
            <a:t>EXTRA</a:t>
          </a:r>
          <a:endParaRPr lang="pt-BR" sz="1100" b="1" u="sng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10</xdr:col>
          <xdr:colOff>618566</xdr:colOff>
          <xdr:row>0</xdr:row>
          <xdr:rowOff>405093</xdr:rowOff>
        </xdr:to>
        <xdr:grpSp>
          <xdr:nvGrpSpPr>
            <xdr:cNvPr id="35" name="Grupo 34">
              <a:extLst>
                <a:ext uri="{FF2B5EF4-FFF2-40B4-BE49-F238E27FC236}">
                  <a16:creationId xmlns:a16="http://schemas.microsoft.com/office/drawing/2014/main" id="{00000000-0008-0000-1000-000023000000}"/>
                </a:ext>
              </a:extLst>
            </xdr:cNvPr>
            <xdr:cNvGrpSpPr/>
          </xdr:nvGrpSpPr>
          <xdr:grpSpPr>
            <a:xfrm>
              <a:off x="2034988" y="0"/>
              <a:ext cx="11528613" cy="405093"/>
              <a:chOff x="1167093" y="88527"/>
              <a:chExt cx="12039391" cy="405093"/>
            </a:xfrm>
          </xdr:grpSpPr>
          <xdr:sp macro="" textlink="">
            <xdr:nvSpPr>
              <xdr:cNvPr id="44059" name="Button 27" hidden="1">
                <a:extLst>
                  <a:ext uri="{63B3BB69-23CF-44E3-9099-C40C66FF867C}">
                    <a14:compatExt spid="_x0000_s44059"/>
                  </a:ext>
                  <a:ext uri="{FF2B5EF4-FFF2-40B4-BE49-F238E27FC236}">
                    <a16:creationId xmlns:a16="http://schemas.microsoft.com/office/drawing/2014/main" id="{00000000-0008-0000-1000-00001BAC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44060" name="Button 28" hidden="1">
                <a:extLst>
                  <a:ext uri="{63B3BB69-23CF-44E3-9099-C40C66FF867C}">
                    <a14:compatExt spid="_x0000_s44060"/>
                  </a:ext>
                  <a:ext uri="{FF2B5EF4-FFF2-40B4-BE49-F238E27FC236}">
                    <a16:creationId xmlns:a16="http://schemas.microsoft.com/office/drawing/2014/main" id="{00000000-0008-0000-1000-00001CAC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4061" name="Button 29" hidden="1">
                <a:extLst>
                  <a:ext uri="{63B3BB69-23CF-44E3-9099-C40C66FF867C}">
                    <a14:compatExt spid="_x0000_s44061"/>
                  </a:ext>
                  <a:ext uri="{FF2B5EF4-FFF2-40B4-BE49-F238E27FC236}">
                    <a16:creationId xmlns:a16="http://schemas.microsoft.com/office/drawing/2014/main" id="{00000000-0008-0000-1000-00001DAC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44062" name="Button 30" hidden="1">
                <a:extLst>
                  <a:ext uri="{63B3BB69-23CF-44E3-9099-C40C66FF867C}">
                    <a14:compatExt spid="_x0000_s44062"/>
                  </a:ext>
                  <a:ext uri="{FF2B5EF4-FFF2-40B4-BE49-F238E27FC236}">
                    <a16:creationId xmlns:a16="http://schemas.microsoft.com/office/drawing/2014/main" id="{00000000-0008-0000-1000-00001EAC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44063" name="Button 31" hidden="1">
                <a:extLst>
                  <a:ext uri="{63B3BB69-23CF-44E3-9099-C40C66FF867C}">
                    <a14:compatExt spid="_x0000_s44063"/>
                  </a:ext>
                  <a:ext uri="{FF2B5EF4-FFF2-40B4-BE49-F238E27FC236}">
                    <a16:creationId xmlns:a16="http://schemas.microsoft.com/office/drawing/2014/main" id="{00000000-0008-0000-1000-00001FAC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44064" name="Button 32" hidden="1">
                <a:extLst>
                  <a:ext uri="{63B3BB69-23CF-44E3-9099-C40C66FF867C}">
                    <a14:compatExt spid="_x0000_s44064"/>
                  </a:ext>
                  <a:ext uri="{FF2B5EF4-FFF2-40B4-BE49-F238E27FC236}">
                    <a16:creationId xmlns:a16="http://schemas.microsoft.com/office/drawing/2014/main" id="{00000000-0008-0000-1000-000020AC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44065" name="Button 33" hidden="1">
                <a:extLst>
                  <a:ext uri="{63B3BB69-23CF-44E3-9099-C40C66FF867C}">
                    <a14:compatExt spid="_x0000_s44065"/>
                  </a:ext>
                  <a:ext uri="{FF2B5EF4-FFF2-40B4-BE49-F238E27FC236}">
                    <a16:creationId xmlns:a16="http://schemas.microsoft.com/office/drawing/2014/main" id="{00000000-0008-0000-1000-000021AC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44067" name="Button 35" hidden="1">
                <a:extLst>
                  <a:ext uri="{63B3BB69-23CF-44E3-9099-C40C66FF867C}">
                    <a14:compatExt spid="_x0000_s44067"/>
                  </a:ext>
                  <a:ext uri="{FF2B5EF4-FFF2-40B4-BE49-F238E27FC236}">
                    <a16:creationId xmlns:a16="http://schemas.microsoft.com/office/drawing/2014/main" id="{00000000-0008-0000-1000-000023AC0000}"/>
                  </a:ext>
                </a:extLst>
              </xdr:cNvPr>
              <xdr:cNvSpPr/>
            </xdr:nvSpPr>
            <xdr:spPr bwMode="auto">
              <a:xfrm>
                <a:off x="8536889" y="92449"/>
                <a:ext cx="1125174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44068" name="Button 36" hidden="1">
                <a:extLst>
                  <a:ext uri="{63B3BB69-23CF-44E3-9099-C40C66FF867C}">
                    <a14:compatExt spid="_x0000_s44068"/>
                  </a:ext>
                  <a:ext uri="{FF2B5EF4-FFF2-40B4-BE49-F238E27FC236}">
                    <a16:creationId xmlns:a16="http://schemas.microsoft.com/office/drawing/2014/main" id="{00000000-0008-0000-1000-000024AC0000}"/>
                  </a:ext>
                </a:extLst>
              </xdr:cNvPr>
              <xdr:cNvSpPr/>
            </xdr:nvSpPr>
            <xdr:spPr bwMode="auto">
              <a:xfrm>
                <a:off x="9710247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44069" name="Button 37" hidden="1">
                <a:extLst>
                  <a:ext uri="{63B3BB69-23CF-44E3-9099-C40C66FF867C}">
                    <a14:compatExt spid="_x0000_s44069"/>
                  </a:ext>
                  <a:ext uri="{FF2B5EF4-FFF2-40B4-BE49-F238E27FC236}">
                    <a16:creationId xmlns:a16="http://schemas.microsoft.com/office/drawing/2014/main" id="{00000000-0008-0000-1000-000025AC0000}"/>
                  </a:ext>
                </a:extLst>
              </xdr:cNvPr>
              <xdr:cNvSpPr/>
            </xdr:nvSpPr>
            <xdr:spPr bwMode="auto">
              <a:xfrm>
                <a:off x="10881263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4070" name="Button 38" hidden="1">
                <a:extLst>
                  <a:ext uri="{63B3BB69-23CF-44E3-9099-C40C66FF867C}">
                    <a14:compatExt spid="_x0000_s44070"/>
                  </a:ext>
                  <a:ext uri="{FF2B5EF4-FFF2-40B4-BE49-F238E27FC236}">
                    <a16:creationId xmlns:a16="http://schemas.microsoft.com/office/drawing/2014/main" id="{00000000-0008-0000-1000-000026AC0000}"/>
                  </a:ext>
                </a:extLst>
              </xdr:cNvPr>
              <xdr:cNvSpPr/>
            </xdr:nvSpPr>
            <xdr:spPr bwMode="auto">
              <a:xfrm>
                <a:off x="12069087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44823</xdr:colOff>
      <xdr:row>1</xdr:row>
      <xdr:rowOff>44825</xdr:rowOff>
    </xdr:from>
    <xdr:to>
      <xdr:col>3</xdr:col>
      <xdr:colOff>145676</xdr:colOff>
      <xdr:row>1</xdr:row>
      <xdr:rowOff>302559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4823" y="683560"/>
          <a:ext cx="2756647" cy="25773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ANALISE</a:t>
          </a:r>
          <a:r>
            <a:rPr lang="pt-BR" sz="1100" b="1" baseline="0">
              <a:solidFill>
                <a:schemeClr val="bg1"/>
              </a:solidFill>
            </a:rPr>
            <a:t> DE  ORÇAMENTOS</a:t>
          </a:r>
          <a:endParaRPr lang="pt-BR" sz="1100" b="1" u="sng">
            <a:solidFill>
              <a:srgbClr val="FFFF00"/>
            </a:solidFill>
          </a:endParaRPr>
        </a:p>
      </xdr:txBody>
    </xdr:sp>
    <xdr:clientData/>
  </xdr:twoCellAnchor>
  <xdr:absoluteAnchor>
    <xdr:pos x="0" y="1442197"/>
    <xdr:ext cx="1825598" cy="7667625"/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0" y="1442197"/>
          <a:ext cx="1825598" cy="7667625"/>
          <a:chOff x="42182" y="1039586"/>
          <a:chExt cx="1828800" cy="76676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VENDEDOR 4">
                <a:extLst>
                  <a:ext uri="{FF2B5EF4-FFF2-40B4-BE49-F238E27FC236}">
                    <a16:creationId xmlns:a16="http://schemas.microsoft.com/office/drawing/2014/main" id="{00000000-0008-0000-1100-000003000000}"/>
                  </a:ext>
                </a:extLst>
              </xdr:cNvPr>
              <xdr:cNvGraphicFramePr/>
            </xdr:nvGraphicFramePr>
            <xdr:xfrm>
              <a:off x="42182" y="3611336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VENDEDOR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013947"/>
                <a:ext cx="182559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STATUS 2">
                <a:extLst>
                  <a:ext uri="{FF2B5EF4-FFF2-40B4-BE49-F238E27FC236}">
                    <a16:creationId xmlns:a16="http://schemas.microsoft.com/office/drawing/2014/main" id="{00000000-0008-0000-1100-000004000000}"/>
                  </a:ext>
                </a:extLst>
              </xdr:cNvPr>
              <xdr:cNvGraphicFramePr/>
            </xdr:nvGraphicFramePr>
            <xdr:xfrm>
              <a:off x="42182" y="6183086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STATUS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6585697"/>
                <a:ext cx="182559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MÊS 3">
                <a:extLst>
                  <a:ext uri="{FF2B5EF4-FFF2-40B4-BE49-F238E27FC236}">
                    <a16:creationId xmlns:a16="http://schemas.microsoft.com/office/drawing/2014/main" id="{00000000-0008-0000-1100-000005000000}"/>
                  </a:ext>
                </a:extLst>
              </xdr:cNvPr>
              <xdr:cNvGraphicFramePr/>
            </xdr:nvGraphicFramePr>
            <xdr:xfrm>
              <a:off x="42182" y="1039586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ÊS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442197"/>
                <a:ext cx="1825598" cy="2524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  </a:r>
              </a:p>
            </xdr:txBody>
          </xdr:sp>
        </mc:Fallback>
      </mc:AlternateContent>
    </xdr:grp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182880</xdr:colOff>
          <xdr:row>35</xdr:row>
          <xdr:rowOff>99060</xdr:rowOff>
        </xdr:from>
        <xdr:to>
          <xdr:col>5</xdr:col>
          <xdr:colOff>1249680</xdr:colOff>
          <xdr:row>37</xdr:row>
          <xdr:rowOff>114300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7</xdr:col>
          <xdr:colOff>44824</xdr:colOff>
          <xdr:row>0</xdr:row>
          <xdr:rowOff>405093</xdr:rowOff>
        </xdr:to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1100-000024000000}"/>
                </a:ext>
              </a:extLst>
            </xdr:cNvPr>
            <xdr:cNvGrpSpPr/>
          </xdr:nvGrpSpPr>
          <xdr:grpSpPr>
            <a:xfrm>
              <a:off x="1990165" y="0"/>
              <a:ext cx="11537577" cy="405093"/>
              <a:chOff x="1167093" y="88527"/>
              <a:chExt cx="12063467" cy="405093"/>
            </a:xfrm>
          </xdr:grpSpPr>
          <xdr:sp macro="" textlink="">
            <xdr:nvSpPr>
              <xdr:cNvPr id="48156" name="Button 28" hidden="1">
                <a:extLst>
                  <a:ext uri="{63B3BB69-23CF-44E3-9099-C40C66FF867C}">
                    <a14:compatExt spid="_x0000_s48156"/>
                  </a:ext>
                  <a:ext uri="{FF2B5EF4-FFF2-40B4-BE49-F238E27FC236}">
                    <a16:creationId xmlns:a16="http://schemas.microsoft.com/office/drawing/2014/main" id="{00000000-0008-0000-1100-00001CBC0000}"/>
                  </a:ext>
                </a:extLst>
              </xdr:cNvPr>
              <xdr:cNvSpPr/>
            </xdr:nvSpPr>
            <xdr:spPr bwMode="auto">
              <a:xfrm>
                <a:off x="1167093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</a:t>
                </a:r>
              </a:p>
            </xdr:txBody>
          </xdr:sp>
          <xdr:sp macro="" textlink="">
            <xdr:nvSpPr>
              <xdr:cNvPr id="48157" name="Button 29" hidden="1">
                <a:extLst>
                  <a:ext uri="{63B3BB69-23CF-44E3-9099-C40C66FF867C}">
                    <a14:compatExt spid="_x0000_s48157"/>
                  </a:ext>
                  <a:ext uri="{FF2B5EF4-FFF2-40B4-BE49-F238E27FC236}">
                    <a16:creationId xmlns:a16="http://schemas.microsoft.com/office/drawing/2014/main" id="{00000000-0008-0000-1100-00001DBC0000}"/>
                  </a:ext>
                </a:extLst>
              </xdr:cNvPr>
              <xdr:cNvSpPr/>
            </xdr:nvSpPr>
            <xdr:spPr bwMode="auto">
              <a:xfrm>
                <a:off x="2232636" y="92449"/>
                <a:ext cx="940782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8158" name="Button 30" hidden="1">
                <a:extLst>
                  <a:ext uri="{63B3BB69-23CF-44E3-9099-C40C66FF867C}">
                    <a14:compatExt spid="_x0000_s48158"/>
                  </a:ext>
                  <a:ext uri="{FF2B5EF4-FFF2-40B4-BE49-F238E27FC236}">
                    <a16:creationId xmlns:a16="http://schemas.microsoft.com/office/drawing/2014/main" id="{00000000-0008-0000-1100-00001EBC0000}"/>
                  </a:ext>
                </a:extLst>
              </xdr:cNvPr>
              <xdr:cNvSpPr/>
            </xdr:nvSpPr>
            <xdr:spPr bwMode="auto">
              <a:xfrm>
                <a:off x="3239215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OP</a:t>
                </a:r>
              </a:p>
            </xdr:txBody>
          </xdr:sp>
          <xdr:sp macro="" textlink="">
            <xdr:nvSpPr>
              <xdr:cNvPr id="48159" name="Button 31" hidden="1">
                <a:extLst>
                  <a:ext uri="{63B3BB69-23CF-44E3-9099-C40C66FF867C}">
                    <a14:compatExt spid="_x0000_s48159"/>
                  </a:ext>
                  <a:ext uri="{FF2B5EF4-FFF2-40B4-BE49-F238E27FC236}">
                    <a16:creationId xmlns:a16="http://schemas.microsoft.com/office/drawing/2014/main" id="{00000000-0008-0000-1100-00001FBC0000}"/>
                  </a:ext>
                </a:extLst>
              </xdr:cNvPr>
              <xdr:cNvSpPr/>
            </xdr:nvSpPr>
            <xdr:spPr bwMode="auto">
              <a:xfrm>
                <a:off x="430475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COMPRAS</a:t>
                </a:r>
              </a:p>
            </xdr:txBody>
          </xdr:sp>
          <xdr:sp macro="" textlink="">
            <xdr:nvSpPr>
              <xdr:cNvPr id="48160" name="Button 32" hidden="1">
                <a:extLst>
                  <a:ext uri="{63B3BB69-23CF-44E3-9099-C40C66FF867C}">
                    <a14:compatExt spid="_x0000_s48160"/>
                  </a:ext>
                  <a:ext uri="{FF2B5EF4-FFF2-40B4-BE49-F238E27FC236}">
                    <a16:creationId xmlns:a16="http://schemas.microsoft.com/office/drawing/2014/main" id="{00000000-0008-0000-1100-000020BC0000}"/>
                  </a:ext>
                </a:extLst>
              </xdr:cNvPr>
              <xdr:cNvSpPr/>
            </xdr:nvSpPr>
            <xdr:spPr bwMode="auto">
              <a:xfrm>
                <a:off x="5370300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DESPESA</a:t>
                </a:r>
              </a:p>
            </xdr:txBody>
          </xdr:sp>
          <xdr:sp macro="" textlink="">
            <xdr:nvSpPr>
              <xdr:cNvPr id="48161" name="Button 33" hidden="1">
                <a:extLst>
                  <a:ext uri="{63B3BB69-23CF-44E3-9099-C40C66FF867C}">
                    <a14:compatExt spid="_x0000_s48161"/>
                  </a:ext>
                  <a:ext uri="{FF2B5EF4-FFF2-40B4-BE49-F238E27FC236}">
                    <a16:creationId xmlns:a16="http://schemas.microsoft.com/office/drawing/2014/main" id="{00000000-0008-0000-1100-000021BC0000}"/>
                  </a:ext>
                </a:extLst>
              </xdr:cNvPr>
              <xdr:cNvSpPr/>
            </xdr:nvSpPr>
            <xdr:spPr bwMode="auto">
              <a:xfrm>
                <a:off x="6435844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DESLOCAMENTO</a:t>
                </a:r>
              </a:p>
            </xdr:txBody>
          </xdr:sp>
          <xdr:sp macro="" textlink="">
            <xdr:nvSpPr>
              <xdr:cNvPr id="48162" name="Button 34" hidden="1">
                <a:extLst>
                  <a:ext uri="{63B3BB69-23CF-44E3-9099-C40C66FF867C}">
                    <a14:compatExt spid="_x0000_s48162"/>
                  </a:ext>
                  <a:ext uri="{FF2B5EF4-FFF2-40B4-BE49-F238E27FC236}">
                    <a16:creationId xmlns:a16="http://schemas.microsoft.com/office/drawing/2014/main" id="{00000000-0008-0000-1100-000022BC0000}"/>
                  </a:ext>
                </a:extLst>
              </xdr:cNvPr>
              <xdr:cNvSpPr/>
            </xdr:nvSpPr>
            <xdr:spPr bwMode="auto">
              <a:xfrm>
                <a:off x="7501387" y="92449"/>
                <a:ext cx="999746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HOMEM X HORA</a:t>
                </a:r>
              </a:p>
            </xdr:txBody>
          </xdr:sp>
          <xdr:sp macro="" textlink="">
            <xdr:nvSpPr>
              <xdr:cNvPr id="48164" name="Button 36" hidden="1">
                <a:extLst>
                  <a:ext uri="{63B3BB69-23CF-44E3-9099-C40C66FF867C}">
                    <a14:compatExt spid="_x0000_s48164"/>
                  </a:ext>
                  <a:ext uri="{FF2B5EF4-FFF2-40B4-BE49-F238E27FC236}">
                    <a16:creationId xmlns:a16="http://schemas.microsoft.com/office/drawing/2014/main" id="{00000000-0008-0000-1100-000024BC0000}"/>
                  </a:ext>
                </a:extLst>
              </xdr:cNvPr>
              <xdr:cNvSpPr/>
            </xdr:nvSpPr>
            <xdr:spPr bwMode="auto">
              <a:xfrm>
                <a:off x="8560967" y="92449"/>
                <a:ext cx="1125175" cy="401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FF"/>
                    </a:solidFill>
                    <a:latin typeface="Calibri"/>
                    <a:ea typeface="Calibri"/>
                    <a:cs typeface="Calibri"/>
                  </a:rPr>
                  <a:t>FAT. EXTRA</a:t>
                </a:r>
              </a:p>
            </xdr:txBody>
          </xdr:sp>
          <xdr:sp macro="" textlink="">
            <xdr:nvSpPr>
              <xdr:cNvPr id="48165" name="Button 37" hidden="1">
                <a:extLst>
                  <a:ext uri="{63B3BB69-23CF-44E3-9099-C40C66FF867C}">
                    <a14:compatExt spid="_x0000_s48165"/>
                  </a:ext>
                  <a:ext uri="{FF2B5EF4-FFF2-40B4-BE49-F238E27FC236}">
                    <a16:creationId xmlns:a16="http://schemas.microsoft.com/office/drawing/2014/main" id="{00000000-0008-0000-1100-000025BC0000}"/>
                  </a:ext>
                </a:extLst>
              </xdr:cNvPr>
              <xdr:cNvSpPr/>
            </xdr:nvSpPr>
            <xdr:spPr bwMode="auto">
              <a:xfrm>
                <a:off x="9734325" y="93570"/>
                <a:ext cx="1132355" cy="4000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ANALISE</a:t>
                </a: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ORÇAMENTO</a:t>
                </a:r>
              </a:p>
            </xdr:txBody>
          </xdr:sp>
          <xdr:sp macro="" textlink="">
            <xdr:nvSpPr>
              <xdr:cNvPr id="48166" name="Button 38" hidden="1">
                <a:extLst>
                  <a:ext uri="{63B3BB69-23CF-44E3-9099-C40C66FF867C}">
                    <a14:compatExt spid="_x0000_s48166"/>
                  </a:ext>
                  <a:ext uri="{FF2B5EF4-FFF2-40B4-BE49-F238E27FC236}">
                    <a16:creationId xmlns:a16="http://schemas.microsoft.com/office/drawing/2014/main" id="{00000000-0008-0000-1100-000026BC0000}"/>
                  </a:ext>
                </a:extLst>
              </xdr:cNvPr>
              <xdr:cNvSpPr/>
            </xdr:nvSpPr>
            <xdr:spPr bwMode="auto">
              <a:xfrm>
                <a:off x="10905341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RESUMO</a:t>
                </a:r>
              </a:p>
              <a:p>
                <a:pPr algn="ctr" rtl="0">
                  <a:defRPr sz="1000"/>
                </a:pPr>
                <a:r>
                  <a:rPr lang="pt-BR" sz="8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rPr>
                  <a:t>FATURAMENTO</a:t>
                </a:r>
              </a:p>
            </xdr:txBody>
          </xdr:sp>
          <xdr:sp macro="" textlink="">
            <xdr:nvSpPr>
              <xdr:cNvPr id="48167" name="Button 39" hidden="1">
                <a:extLst>
                  <a:ext uri="{63B3BB69-23CF-44E3-9099-C40C66FF867C}">
                    <a14:compatExt spid="_x0000_s48167"/>
                  </a:ext>
                  <a:ext uri="{FF2B5EF4-FFF2-40B4-BE49-F238E27FC236}">
                    <a16:creationId xmlns:a16="http://schemas.microsoft.com/office/drawing/2014/main" id="{00000000-0008-0000-1100-000027BC0000}"/>
                  </a:ext>
                </a:extLst>
              </xdr:cNvPr>
              <xdr:cNvSpPr/>
            </xdr:nvSpPr>
            <xdr:spPr bwMode="auto">
              <a:xfrm>
                <a:off x="12093163" y="88527"/>
                <a:ext cx="1137397" cy="4050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"AP"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617220</xdr:colOff>
          <xdr:row>4</xdr:row>
          <xdr:rowOff>30480</xdr:rowOff>
        </xdr:from>
        <xdr:to>
          <xdr:col>8</xdr:col>
          <xdr:colOff>137160</xdr:colOff>
          <xdr:row>7</xdr:row>
          <xdr:rowOff>68580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Alterar caledario Vigente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152401</xdr:colOff>
      <xdr:row>4</xdr:row>
      <xdr:rowOff>180975</xdr:rowOff>
    </xdr:from>
    <xdr:to>
      <xdr:col>6</xdr:col>
      <xdr:colOff>685800</xdr:colOff>
      <xdr:row>5</xdr:row>
      <xdr:rowOff>180975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3781426" y="942975"/>
          <a:ext cx="1247774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Escolha o Ano &gt;&gt;</a:t>
          </a:r>
        </a:p>
      </xdr:txBody>
    </xdr:sp>
    <xdr:clientData/>
  </xdr:twoCellAnchor>
  <xdr:oneCellAnchor>
    <xdr:from>
      <xdr:col>4</xdr:col>
      <xdr:colOff>654985</xdr:colOff>
      <xdr:row>1</xdr:row>
      <xdr:rowOff>61072</xdr:rowOff>
    </xdr:from>
    <xdr:ext cx="2348192" cy="371476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9635" y="251572"/>
          <a:ext cx="2348192" cy="371476"/>
        </a:xfrm>
        <a:prstGeom prst="rect">
          <a:avLst/>
        </a:prstGeom>
        <a:solidFill>
          <a:sysClr val="window" lastClr="FFFFFF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0"/>
              <a:solidFill>
                <a:srgbClr val="00206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j-lt"/>
            </a:rPr>
            <a:t>Calendário</a:t>
          </a:r>
          <a:endParaRPr lang="pt-BR" sz="1800" b="0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j-lt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381000</xdr:colOff>
          <xdr:row>0</xdr:row>
          <xdr:rowOff>99060</xdr:rowOff>
        </xdr:from>
        <xdr:to>
          <xdr:col>13</xdr:col>
          <xdr:colOff>502920</xdr:colOff>
          <xdr:row>3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1089212</xdr:colOff>
      <xdr:row>13</xdr:row>
      <xdr:rowOff>52107</xdr:rowOff>
    </xdr:from>
    <xdr:to>
      <xdr:col>10</xdr:col>
      <xdr:colOff>915520</xdr:colOff>
      <xdr:row>16</xdr:row>
      <xdr:rowOff>132230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8574741" y="2528607"/>
          <a:ext cx="1484779" cy="6516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ULTIMA ATUALIZAÇÃO NO DIA 20/09/2021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182880</xdr:colOff>
          <xdr:row>0</xdr:row>
          <xdr:rowOff>83820</xdr:rowOff>
        </xdr:from>
        <xdr:to>
          <xdr:col>15</xdr:col>
          <xdr:colOff>419100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392205</xdr:colOff>
      <xdr:row>16</xdr:row>
      <xdr:rowOff>119903</xdr:rowOff>
    </xdr:from>
    <xdr:to>
      <xdr:col>8</xdr:col>
      <xdr:colOff>187698</xdr:colOff>
      <xdr:row>17</xdr:row>
      <xdr:rowOff>148478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4383180" y="3996578"/>
          <a:ext cx="5081868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F0000"/>
              </a:solidFill>
            </a:rPr>
            <a:t>RESUMO</a:t>
          </a:r>
          <a:r>
            <a:rPr lang="pt-BR" sz="1400" b="1" baseline="0">
              <a:solidFill>
                <a:srgbClr val="FF0000"/>
              </a:solidFill>
            </a:rPr>
            <a:t> HOMEM HORA TRABALHADO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379318</xdr:colOff>
      <xdr:row>22</xdr:row>
      <xdr:rowOff>137272</xdr:rowOff>
    </xdr:from>
    <xdr:to>
      <xdr:col>8</xdr:col>
      <xdr:colOff>193861</xdr:colOff>
      <xdr:row>23</xdr:row>
      <xdr:rowOff>165847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4370293" y="5442697"/>
          <a:ext cx="5100918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F0000"/>
              </a:solidFill>
            </a:rPr>
            <a:t>RESUMO</a:t>
          </a:r>
          <a:r>
            <a:rPr lang="pt-BR" sz="1400" b="1" baseline="0">
              <a:solidFill>
                <a:srgbClr val="FF0000"/>
              </a:solidFill>
            </a:rPr>
            <a:t> DESPESAS EXTRAS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329453</xdr:colOff>
      <xdr:row>26</xdr:row>
      <xdr:rowOff>152400</xdr:rowOff>
    </xdr:from>
    <xdr:to>
      <xdr:col>8</xdr:col>
      <xdr:colOff>143996</xdr:colOff>
      <xdr:row>27</xdr:row>
      <xdr:rowOff>180975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320428" y="6410325"/>
          <a:ext cx="5100918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F0000"/>
              </a:solidFill>
            </a:rPr>
            <a:t>CUSTO DE MATERIAIS SISTEMA</a:t>
          </a:r>
        </a:p>
      </xdr:txBody>
    </xdr:sp>
    <xdr:clientData/>
  </xdr:twoCellAnchor>
  <xdr:twoCellAnchor>
    <xdr:from>
      <xdr:col>3</xdr:col>
      <xdr:colOff>507066</xdr:colOff>
      <xdr:row>32</xdr:row>
      <xdr:rowOff>112060</xdr:rowOff>
    </xdr:from>
    <xdr:to>
      <xdr:col>8</xdr:col>
      <xdr:colOff>316566</xdr:colOff>
      <xdr:row>33</xdr:row>
      <xdr:rowOff>136153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4498041" y="7751110"/>
          <a:ext cx="5095875" cy="2622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FF0000"/>
              </a:solidFill>
            </a:rPr>
            <a:t>FATURAMENTO</a:t>
          </a:r>
        </a:p>
      </xdr:txBody>
    </xdr:sp>
    <xdr:clientData/>
  </xdr:twoCellAnchor>
  <xdr:twoCellAnchor>
    <xdr:from>
      <xdr:col>2</xdr:col>
      <xdr:colOff>1109381</xdr:colOff>
      <xdr:row>1</xdr:row>
      <xdr:rowOff>41088</xdr:rowOff>
    </xdr:from>
    <xdr:to>
      <xdr:col>8</xdr:col>
      <xdr:colOff>403411</xdr:colOff>
      <xdr:row>2</xdr:row>
      <xdr:rowOff>79375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3233456" y="279213"/>
          <a:ext cx="6447305" cy="343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rgbClr val="002060"/>
              </a:solidFill>
            </a:rPr>
            <a:t>ACOMPANHAMENTO</a:t>
          </a:r>
          <a:r>
            <a:rPr lang="pt-BR" sz="1600" b="1" baseline="0">
              <a:solidFill>
                <a:srgbClr val="002060"/>
              </a:solidFill>
            </a:rPr>
            <a:t> ORDEM DE PRODUÇÃO // SERVIÇOS</a:t>
          </a:r>
          <a:endParaRPr lang="pt-BR" sz="1600" b="1">
            <a:solidFill>
              <a:srgbClr val="00206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1737360</xdr:colOff>
          <xdr:row>1</xdr:row>
          <xdr:rowOff>30480</xdr:rowOff>
        </xdr:from>
        <xdr:to>
          <xdr:col>2</xdr:col>
          <xdr:colOff>1059180</xdr:colOff>
          <xdr:row>2</xdr:row>
          <xdr:rowOff>121920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695325</xdr:colOff>
      <xdr:row>10</xdr:row>
      <xdr:rowOff>100012</xdr:rowOff>
    </xdr:from>
    <xdr:to>
      <xdr:col>20</xdr:col>
      <xdr:colOff>885825</xdr:colOff>
      <xdr:row>24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129633" createdVersion="4" refreshedVersion="8" minRefreshableVersion="3" recordCount="20" xr:uid="{00000000-000A-0000-FFFF-FFFF05000000}">
  <cacheSource type="worksheet">
    <worksheetSource name="LANC_COMPRA"/>
  </cacheSource>
  <cacheFields count="11">
    <cacheField name="NÚMERO O.C" numFmtId="0">
      <sharedItems containsNonDate="0" containsString="0" containsBlank="1" containsNumber="1" containsInteger="1" minValue="0" maxValue="60300" count="605">
        <m/>
        <n v="0" u="1"/>
        <n v="8816" u="1"/>
        <n v="14804" u="1"/>
        <n v="8233" u="1"/>
        <n v="9210" u="1"/>
        <n v="7401" u="1"/>
        <n v="9604" u="1"/>
        <n v="11621" u="1"/>
        <n v="10392" u="1"/>
        <n v="13386" u="1"/>
        <n v="8832" u="1"/>
        <n v="5912" u="1"/>
        <n v="10140" u="1"/>
        <n v="6109" u="1"/>
        <n v="10077" u="1"/>
        <n v="5849" u="1"/>
        <n v="15025" u="1"/>
        <n v="6046" u="1"/>
        <n v="7803" u="1"/>
        <n v="7480" u="1"/>
        <n v="5920" u="1"/>
        <n v="9699" u="1"/>
        <n v="11716" u="1"/>
        <n v="5857" u="1"/>
        <n v="9573" u="1"/>
        <n v="8533" u="1"/>
        <n v="6574" u="1"/>
        <n v="8470" u="1"/>
        <n v="5794" u="1"/>
        <n v="13481" u="1"/>
        <n v="14915" u="1"/>
        <n v="7488" u="1"/>
        <n v="13812" u="1"/>
        <n v="8218" u="1"/>
        <n v="9195" u="1"/>
        <n v="14726" u="1"/>
        <n v="10172" u="1"/>
        <n v="14206" u="1"/>
        <n v="11149" u="1"/>
        <n v="9589" u="1"/>
        <n v="5605" u="1"/>
        <n v="10566" u="1"/>
        <n v="9526" u="1"/>
        <n v="13560" u="1"/>
        <n v="8423" u="1"/>
        <n v="10377" u="1"/>
        <n v="11811" u="1"/>
        <n v="7953" u="1"/>
        <n v="9211" u="1"/>
        <n v="8150" u="1"/>
        <n v="14616" u="1"/>
        <n v="7110" u="1"/>
        <n v="14096" u="1"/>
        <n v="14553" u="1"/>
        <n v="8024" u="1"/>
        <n v="13387" u="1"/>
        <n v="14364" u="1"/>
        <n v="16381" u="1"/>
        <n v="11827" u="1"/>
        <n v="6464" u="1"/>
        <n v="5944" u="1"/>
        <n v="5621" u="1"/>
        <n v="7378" u="1"/>
        <n v="8455" u="1"/>
        <n v="6015" u="1"/>
        <n v="7512" u="1"/>
        <n v="16410" u="1"/>
        <n v="8786" u="1"/>
        <n v="14837" u="1"/>
        <n v="10283" u="1"/>
        <n v="13797" u="1"/>
        <n v="14774" u="1"/>
        <n v="9180" u="1"/>
        <n v="6409" u="1"/>
        <n v="14128" u="1"/>
        <n v="8471" u="1"/>
        <n v="7520" u="1"/>
        <n v="12899" u="1"/>
        <n v="7260" u="1"/>
        <n v="9779" u="1"/>
        <n v="8174" u="1"/>
        <n v="5637" u="1"/>
        <n v="11607" u="1"/>
        <n v="12001" u="1"/>
        <n v="9921" u="1"/>
        <n v="7788" u="1"/>
        <n v="9795" u="1"/>
        <n v="11812" u="1"/>
        <n v="8235" u="1"/>
        <n v="11166" u="1"/>
        <n v="10063" u="1"/>
        <n v="6039" u="1"/>
        <n v="13388" u="1"/>
        <n v="9291" u="1"/>
        <n v="11765" u="1"/>
        <n v="6693" u="1"/>
        <n v="9165" u="1"/>
        <n v="15153" u="1"/>
        <n v="9433" u="1"/>
        <n v="13467" u="1"/>
        <n v="6961" u="1"/>
        <n v="5921" u="1"/>
        <n v="10678" u="1"/>
        <n v="10158" u="1"/>
        <n v="15169" u="1"/>
        <n v="13483" u="1"/>
        <n v="8409" u="1"/>
        <n v="13877" u="1"/>
        <n v="5732" u="1"/>
        <n v="10820" u="1"/>
        <n v="7229" u="1"/>
        <n v="14334" u="1"/>
        <n v="9780" u="1"/>
        <n v="6189" u="1"/>
        <n v="8220" u="1"/>
        <n v="9197" u="1"/>
        <n v="14208" u="1"/>
        <n v="14665" u="1"/>
        <n v="7363" u="1"/>
        <n v="7103" u="1"/>
        <n v="6063" u="1"/>
        <n v="13436" u="1"/>
        <n v="8819" u="1"/>
        <n v="14287" u="1"/>
        <n v="7954" u="1"/>
        <n v="14744" u="1"/>
        <n v="15012" u="1"/>
        <n v="11309" u="1"/>
        <n v="5945" u="1"/>
        <n v="14240" u="1"/>
        <n v="9040" u="1"/>
        <n v="8457" u="1"/>
        <n v="11908" u="1"/>
        <n v="5756" u="1"/>
        <n v="14902" u="1"/>
        <n v="11845" u="1"/>
        <n v="11782" u="1"/>
        <n v="5693" u="1"/>
        <n v="5630" u="1"/>
        <n v="7647" u="1"/>
        <n v="9119" u="1"/>
        <n v="11073" u="1"/>
        <n v="6087" u="1"/>
        <n v="5827" u="1"/>
        <n v="13484" u="1"/>
        <n v="10947" u="1"/>
        <n v="6284" u="1"/>
        <n v="11924" u="1"/>
        <n v="8804" u="1"/>
        <n v="8284" u="1"/>
        <n v="5701" u="1"/>
        <n v="7718" u="1"/>
        <n v="8221" u="1"/>
        <n v="13626" u="1"/>
        <n v="6095" u="1"/>
        <n v="8112" u="1"/>
        <n v="10049" u="1"/>
        <n v="5835" u="1"/>
        <n v="7072" u="1"/>
        <n v="7789" u="1"/>
        <n v="12917" u="1"/>
        <n v="7269" u="1"/>
        <n v="8820" u="1"/>
        <n v="5386" u="1"/>
        <n v="6560" u="1"/>
        <n v="10853" u="1"/>
        <n v="14367" u="1"/>
        <n v="5914" u="1"/>
        <n v="11704" u="1"/>
        <n v="14698" u="1"/>
        <n v="10081" u="1"/>
        <n v="10538" u="1"/>
        <n v="9498" u="1"/>
        <n v="8458" u="1"/>
        <n v="7025" u="1"/>
        <n v="5465" u="1"/>
        <n v="8789" u="1"/>
        <n v="12823" u="1"/>
        <n v="9766" u="1"/>
        <n v="6182" u="1"/>
        <n v="15171" u="1"/>
        <n v="14651" u="1"/>
        <n v="7356" u="1"/>
        <n v="7813" u="1"/>
        <n v="9845" u="1"/>
        <n v="5733" u="1"/>
        <n v="7750" u="1"/>
        <n v="5410" u="1"/>
        <n v="14667" u="1"/>
        <n v="7364" u="1"/>
        <n v="11027" u="1"/>
        <n v="10507" u="1"/>
        <n v="8947" u="1"/>
        <n v="13832" u="1"/>
        <n v="9278" u="1"/>
        <n v="6198" u="1"/>
        <n v="13706" u="1"/>
        <n v="12146" u="1"/>
        <n v="6072" u="1"/>
        <n v="7309" u="1"/>
        <n v="14951" u="1"/>
        <n v="8317" u="1"/>
        <n v="6466" u="1"/>
        <n v="9231" u="1"/>
        <n v="7443" u="1"/>
        <n v="14242" u="1"/>
        <n v="10665" u="1"/>
        <n v="14699" u="1"/>
        <n v="12036" u="1"/>
        <n v="5820" u="1"/>
        <n v="10476" u="1"/>
        <n v="9893" u="1"/>
        <n v="11910" u="1"/>
        <n v="7514" u="1"/>
        <n v="13864" u="1"/>
        <n v="6214" u="1"/>
        <n v="13801" u="1"/>
        <n v="11264" u="1"/>
        <n v="6411" u="1"/>
        <n v="14715" u="1"/>
        <n v="6151" u="1"/>
        <n v="10161" u="1"/>
        <n v="7908" u="1"/>
        <n v="14652" u="1"/>
        <n v="10098" u="1"/>
        <n v="11075" u="1"/>
        <n v="6088" u="1"/>
        <n v="11532" u="1"/>
        <n v="13486" u="1"/>
        <n v="6025" u="1"/>
        <n v="9909" u="1"/>
        <n v="6222" u="1"/>
        <n v="8286" u="1"/>
        <n v="10303" u="1"/>
        <n v="7719" u="1"/>
        <n v="8176" u="1"/>
        <n v="7396" u="1"/>
        <n v="14148" u="1"/>
        <n v="11091" u="1"/>
        <n v="8113" u="1"/>
        <n v="9216" u="1"/>
        <n v="11690" u="1"/>
        <n v="7404" u="1"/>
        <n v="6884" u="1"/>
        <n v="6561" u="1"/>
        <n v="10918" u="1"/>
        <n v="5718" u="1"/>
        <n v="8192" u="1"/>
        <n v="10209" u="1"/>
        <n v="10146" u="1"/>
        <n v="15157" u="1"/>
        <n v="7089" u="1"/>
        <n v="10020" u="1"/>
        <n v="9894" u="1"/>
        <n v="11911" u="1"/>
        <n v="6766" u="1"/>
        <n v="8791" u="1"/>
        <n v="10288" u="1"/>
        <n v="6963" u="1"/>
        <n v="9768" u="1"/>
        <n v="10745" u="1"/>
        <n v="7680" u="1"/>
        <n v="8602" u="1"/>
        <n v="14653" u="1"/>
        <n v="14984" u="1"/>
        <n v="5734" u="1"/>
        <n v="7751" u="1"/>
        <n v="13361" u="1"/>
        <n v="9784" u="1"/>
        <n v="9264" u="1"/>
        <n v="5868" u="1"/>
        <n v="7885" u="1"/>
        <n v="8555" u="1"/>
        <n v="10052" u="1"/>
        <n v="15063" u="1"/>
        <n v="8492" u="1"/>
        <n v="15000" u="1"/>
        <n v="14937" u="1"/>
        <n v="8366" u="1"/>
        <n v="9800" u="1"/>
        <n v="9280" u="1"/>
        <n v="12794" u="1"/>
        <n v="11691" u="1"/>
        <n v="7310" u="1"/>
        <n v="8902" u="1"/>
        <n v="7507" u="1"/>
        <n v="7184" u="1"/>
        <n v="10210" u="1"/>
        <n v="8161" u="1"/>
        <n v="7381" u="1"/>
        <n v="14638" u="1"/>
        <n v="6735" u="1"/>
        <n v="9249" u="1"/>
        <n v="12700" u="1"/>
        <n v="6152" u="1"/>
        <n v="7909" u="1"/>
        <n v="11077" u="1"/>
        <n v="9974" u="1"/>
        <n v="14008" u="1"/>
        <n v="7980" u="1"/>
        <n v="5900" u="1"/>
        <n v="11676" u="1"/>
        <n v="11093" u="1"/>
        <n v="8950" u="1"/>
        <n v="14229" u="1"/>
        <n v="6885" u="1"/>
        <n v="6625" u="1"/>
        <n v="5845" u="1"/>
        <n v="14560" u="1"/>
        <n v="6562" u="1"/>
        <n v="7799" u="1"/>
        <n v="14828" u="1"/>
        <n v="14702" u="1"/>
        <n v="9108" u="1"/>
        <n v="5853" u="1"/>
        <n v="9565" u="1"/>
        <n v="15096" u="1"/>
        <n v="7090" u="1"/>
        <n v="6570" u="1"/>
        <n v="6310" u="1"/>
        <n v="11456" u="1"/>
        <n v="6247" u="1"/>
        <n v="11330" u="1"/>
        <n v="8793" u="1"/>
        <n v="7681" u="1"/>
        <n v="12118" u="1"/>
        <n v="15112" u="1"/>
        <n v="12449" u="1"/>
        <n v="7232" u="1"/>
        <n v="6192" u="1"/>
        <n v="15128" u="1"/>
        <n v="5546" u="1"/>
        <n v="6980" u="1"/>
        <n v="9802" u="1"/>
        <n v="5940" u="1"/>
        <n v="9219" u="1"/>
        <n v="9030" u="1"/>
        <n v="5814" u="1"/>
        <n v="7311" u="1"/>
        <n v="9944" u="1"/>
        <n v="14955" u="1"/>
        <n v="6011" u="1"/>
        <n v="11898" u="1"/>
        <n v="7508" u="1"/>
        <n v="14372" u="1"/>
        <n v="10275" u="1"/>
        <n v="7902" u="1"/>
        <n v="7122" u="1"/>
        <n v="14120" u="1"/>
        <n v="6342" u="1"/>
        <n v="10023" u="1"/>
        <n v="8463" u="1"/>
        <n v="13474" u="1"/>
        <n v="6019" u="1"/>
        <n v="14845" u="1"/>
        <n v="6216" u="1"/>
        <n v="5956" u="1"/>
        <n v="7973" u="1"/>
        <n v="5696" u="1"/>
        <n v="9251" u="1"/>
        <n v="6933" u="1"/>
        <n v="14719" u="1"/>
        <n v="7910" u="1"/>
        <n v="5633" u="1"/>
        <n v="6610" u="1"/>
        <n v="15050" u="1"/>
        <n v="7327" u="1"/>
        <n v="9976" u="1"/>
        <n v="13490" u="1"/>
        <n v="14987" u="1"/>
        <n v="6224" u="1"/>
        <n v="8290" u="1"/>
        <n v="7981" u="1"/>
        <n v="10118" u="1"/>
        <n v="9015" u="1"/>
        <n v="7792" u="1"/>
        <n v="6752" u="1"/>
        <n v="8186" u="1"/>
        <n v="7926" u="1"/>
        <n v="6886" u="1"/>
        <n v="6043" u="1"/>
        <n v="5720" u="1"/>
        <n v="12293" u="1"/>
        <n v="9236" u="1"/>
        <n v="11710" u="1"/>
        <n v="5657" u="1"/>
        <n v="14704" u="1"/>
        <n v="12104" u="1"/>
        <n v="11584" u="1"/>
        <n v="7091" u="1"/>
        <n v="14058" u="1"/>
        <n v="6571" u="1"/>
        <n v="15035" u="1"/>
        <n v="9898" u="1"/>
        <n v="5728" u="1"/>
        <n v="9315" u="1"/>
        <n v="10749" u="1"/>
        <n v="11663" u="1"/>
        <n v="5862" u="1"/>
        <n v="7619" u="1"/>
        <n v="7359" u="1"/>
        <n v="8543" u="1"/>
        <n v="9977" u="1"/>
        <n v="8291" u="1"/>
        <n v="13822" u="1"/>
        <n v="10245" u="1"/>
        <n v="6910" u="1"/>
        <n v="5870" u="1"/>
        <n v="7887" u="1"/>
        <n v="9016" u="1"/>
        <n v="6067" u="1"/>
        <n v="15004" u="1"/>
        <n v="10387" u="1"/>
        <n v="16429" u="1"/>
        <n v="7501" u="1"/>
        <n v="6461" u="1"/>
        <n v="10781" u="1"/>
        <n v="14752" u="1"/>
        <n v="5878" u="1"/>
        <n v="9615" u="1"/>
        <n v="14626" u="1"/>
        <n v="6012" u="1"/>
        <n v="8029" u="1"/>
        <n v="7509" u="1"/>
        <n v="7706" u="1"/>
        <n v="14768" u="1"/>
        <n v="6666" u="1"/>
        <n v="7903" u="1"/>
        <n v="10088" u="1"/>
        <n v="6800" u="1"/>
        <n v="14910" u="1"/>
        <n v="13870" u="1"/>
        <n v="10230" u="1"/>
        <n v="13744" u="1"/>
        <n v="12704" u="1"/>
        <n v="6154" u="1"/>
        <n v="11664" u="1"/>
        <n v="5831" u="1"/>
        <n v="8481" u="1"/>
        <n v="11475" u="1"/>
        <n v="8418" u="1"/>
        <n v="6485" u="1"/>
        <n v="6225" u="1"/>
        <n v="9789" u="1"/>
        <n v="13697" u="1"/>
        <n v="12137" u="1"/>
        <n v="9600" u="1"/>
        <n v="12074" u="1"/>
        <n v="13445" u="1"/>
        <n v="8891" u="1"/>
        <n v="7273" u="1"/>
        <n v="8308" u="1"/>
        <n v="12799" u="1"/>
        <n v="10262" u="1"/>
        <n v="9222" u="1"/>
        <n v="11239" u="1"/>
        <n v="14690" u="1"/>
        <n v="12090" u="1"/>
        <n v="13004" u="1"/>
        <n v="6044" u="1"/>
        <n v="9884" u="1"/>
        <n v="13918" u="1"/>
        <n v="8844" u="1"/>
        <n v="8324" u="1"/>
        <n v="13335" u="1"/>
        <n v="6178" u="1"/>
        <n v="7935" u="1"/>
        <n v="5658" u="1"/>
        <n v="7155" u="1"/>
        <n v="6895" u="1"/>
        <n v="14643" u="1"/>
        <n v="8132" u="1"/>
        <n v="10089" u="1"/>
        <n v="5855" u="1"/>
        <n v="8986" u="1"/>
        <n v="9963" u="1"/>
        <n v="13414" u="1"/>
        <n v="6249" u="1"/>
        <n v="8340" u="1"/>
        <n v="5729" u="1"/>
        <n v="9317" u="1"/>
        <n v="14848" u="1"/>
        <n v="5666" u="1"/>
        <n v="7683" u="1"/>
        <n v="15179" u="1"/>
        <n v="10893" u="1"/>
        <n v="8356" u="1"/>
        <n v="8014" u="1"/>
        <n v="13887" u="1"/>
        <n v="14801" u="1"/>
        <n v="7691" u="1"/>
        <n v="11224" u="1"/>
        <n v="11161" u="1"/>
        <n v="12138" u="1"/>
        <n v="7502" u="1"/>
        <n v="6462" u="1"/>
        <n v="14817" u="1"/>
        <n v="14297" u="1"/>
        <n v="9743" u="1"/>
        <n v="9223" u="1"/>
        <n v="11697" u="1"/>
        <n v="9160" u="1"/>
        <n v="9034" u="1"/>
        <n v="7053" u="1"/>
        <n v="6013" u="1"/>
        <n v="13399" u="1"/>
        <n v="14313" u="1"/>
        <n v="13793" u="1"/>
        <n v="7707" u="1"/>
        <n v="8199" u="1"/>
        <n v="15227" u="1"/>
        <n v="8164" u="1"/>
        <n v="10153" u="1"/>
        <n v="11130" u="1"/>
        <n v="8593" u="1"/>
        <n v="14644" u="1"/>
        <n v="11587" u="1"/>
        <n v="9964" u="1"/>
        <n v="7778" u="1"/>
        <n v="8278" u="1"/>
        <n v="5958" u="1"/>
        <n v="9255" u="1"/>
        <n v="14723" u="1"/>
        <n v="6155" u="1"/>
        <n v="8172" u="1"/>
        <n v="11146" u="1"/>
        <n v="8546" u="1"/>
        <n v="5832" u="1"/>
        <n v="5769" u="1"/>
        <n v="13888" u="1"/>
        <n v="7723" u="1"/>
        <n v="9271" u="1"/>
        <n v="14802" u="1"/>
        <n v="14739" u="1"/>
        <n v="5643" u="1"/>
        <n v="11493" u="1"/>
        <n v="7731" u="1"/>
        <n v="7471" u="1"/>
        <n v="7211" u="1"/>
        <n v="9681" u="1"/>
        <n v="9161" u="1"/>
        <n v="6108" u="1"/>
        <n v="13526" u="1"/>
        <n v="6045" u="1"/>
        <n v="13463" u="1"/>
        <n v="6179" u="1"/>
        <n v="5659" u="1"/>
        <n v="6896" u="1"/>
        <n v="11131" u="1"/>
        <n v="12108" u="1"/>
        <n v="5856" u="1"/>
        <n v="9902" u="1"/>
        <n v="14913" u="1"/>
        <n v="5730" u="1"/>
        <n v="7487" u="1"/>
        <n v="8279" u="1"/>
        <n v="12707" u="1"/>
        <n v="6904" u="1"/>
        <n v="6124" u="1"/>
        <n v="11084" u="1"/>
        <n v="8547" u="1"/>
        <n v="6321" u="1"/>
        <n v="8421" u="1"/>
        <n v="5738" u="1"/>
        <n v="7755" u="1"/>
        <n v="11352" u="1"/>
        <n v="6975" u="1"/>
        <n v="9272" u="1"/>
        <n v="60300" u="1"/>
        <n v="5935" u="1"/>
        <n v="11163" u="1"/>
        <n v="7889" u="1"/>
        <n v="5612" u="1"/>
        <n v="14614" u="1"/>
        <n v="12077" u="1"/>
        <n v="9540" u="1"/>
        <n v="6069" u="1"/>
        <n v="8957" u="1"/>
        <n v="8437" u="1"/>
        <n v="11951" u="1"/>
        <n v="13968" u="1"/>
        <n v="14362" u="1"/>
        <n v="14299" u="1"/>
        <n v="11762" u="1"/>
        <n v="14693" u="1"/>
        <n v="5620" u="1"/>
        <n v="12487" u="1"/>
        <n v="10344" u="1"/>
        <n v="6731" u="1"/>
        <n v="9304" u="1"/>
        <n v="14315" u="1"/>
        <n v="5691" u="1"/>
        <n v="9241" u="1"/>
        <n v="14772" u="1"/>
        <n v="7188" u="1"/>
        <n v="15229" u="1"/>
        <n v="15166" u="1"/>
        <n v="11983" u="1"/>
        <n v="6999" u="1"/>
        <n v="14662" u="1"/>
        <n v="9005" u="1"/>
        <n v="15056" u="1"/>
        <n v="12456" u="1"/>
        <n v="6030" u="1"/>
      </sharedItems>
    </cacheField>
    <cacheField name="FORNECEDOR" numFmtId="0">
      <sharedItems containsNonDate="0" containsBlank="1" count="298">
        <m/>
        <s v="RITTAL" u="1"/>
        <s v="KALUNGA" u="1"/>
        <s v="ENGEHALL" u="1"/>
        <s v="ELETROPOLL" u="1"/>
        <s v="KRON" u="1"/>
        <s v="HOTEL RECANTO" u="1"/>
        <s v="AUTOMATIZANDO / SCANSOURCE" u="1"/>
        <s v="OCEANO TI" u="1"/>
        <s v="PORT INFORMATICA" u="1"/>
        <s v="VITORIA BIJUTERIAS E PRESENTES" u="1"/>
        <s v="ESTACIONAMENTO SILVEIRA &amp; SILVEIRA" u="1"/>
        <s v="PNEUMATICA" u="1"/>
        <s v="ARTE CHAPAS" u="1"/>
        <s v="XAVIER TINTAS" u="1"/>
        <s v="ELETRONICA GUARANI" u="1"/>
        <s v="SILAS" u="1"/>
        <s v="3G TINTAS" u="1"/>
        <s v="UNIVERSO ELETRICO" u="1"/>
        <s v="MASTER TURISMO LTDA" u="1"/>
        <s v="SERVIÇO DE TERCEIRO" u="1"/>
        <s v="CONECTA COM E IMP DE LAMP" u="1"/>
        <s v="DOTEL OPERADORA (SWAN TOWER)" u="1"/>
        <s v="ELIPSE" u="1"/>
        <s v="MULTIREDE" u="1"/>
        <s v="NVENT" u="1"/>
        <s v="FORTACO" u="1"/>
        <s v="KEYENCE" u="1"/>
        <s v="PEXTRON" u="1"/>
        <s v="GR (EPI)" u="1"/>
        <s v="SMF CABOS" u="1"/>
        <s v="CARLTON PLAZA" u="1"/>
        <s v="UNIVERSO DO EPI" u="1"/>
        <s v="GHT EQUIPAMENTOS" u="1"/>
        <s v="CONECTAR ELÉTRICA" u="1"/>
        <s v="ANALOGICA" u="1"/>
        <s v="MEDIA TENSÃO" u="1"/>
        <s v="PAULO ROBERTO" u="1"/>
        <s v="GALVANIZAÇAO DE PEÇAS" u="1"/>
        <s v="MURR" u="1"/>
        <s v="CHP" u="1"/>
        <s v="SMC" u="1"/>
        <s v="VIPCOM" u="1"/>
        <s v="WOHNER" u="1"/>
        <s v="M MARTE" u="1"/>
        <s v="TECNATRON" u="1"/>
        <s v="LOJA ELÉTRICA" u="1"/>
        <s v="MOOG DO BRASIL" u="1"/>
        <s v="WEBER" u="1"/>
        <s v="CLAUTEC" u="1"/>
        <s v="GECONTROL" u="1"/>
        <s v="CREA - ART" u="1"/>
        <s v="SIBRATEC" u="1"/>
        <s v="ELETROIMPORT" u="1"/>
        <s v="ACOS POSITANO" u="1"/>
        <s v="LOJA ELETRICA" u="1"/>
        <s v="A.Z TRANSPORTES" u="1"/>
        <s v="HOTEL CARLTON/MARCIO" u="1"/>
        <s v="MDB MINAS DIST BATERIAS" u="1"/>
        <s v="MODERNA" u="1"/>
        <s v="ELETRO ISOLANTE" u="1"/>
        <s v="EXTINTORES BETIM LTDA" u="1"/>
        <s v="SKY (ISAMARA HERMOGENES)" u="1"/>
        <s v="KABUM" u="1"/>
        <s v="MARCELO" u="1"/>
        <s v="TECNOLOG" u="1"/>
        <s v="CONSISTEC" u="1"/>
        <s v="LOJAO DO EPI" u="1"/>
        <s v="WS ACRILICOS" u="1"/>
        <s v="E.L. GREGORIN" u="1"/>
        <s v="AMIL" u="1"/>
        <s v="MY CELL" u="1"/>
        <s v="BEGE COMERCIAL" u="1"/>
        <s v="SANTA EFIGENIA" u="1"/>
        <s v="SUPRI WIRELLES" u="1"/>
        <s v="MATERIAL - CHAVE" u="1"/>
        <s v="CUSTO COM OS - MARCELO" u="1"/>
        <s v="GHPC" u="1"/>
        <s v="MARCIO" u="1"/>
        <s v="MOVIDA" u="1"/>
        <s v="HIPRESS" u="1"/>
        <s v="TAMBASA" u="1"/>
        <s v="CUSTO COM OS - MARCIO" u="1"/>
        <s v="BIHOUSE - DAIANE SCHIMANSKI" u="1"/>
        <s v="BALLUFF" u="1"/>
        <s v="TERMOTECNICA" u="1"/>
        <s v="IMPERIO EQUIP DE SEGURANÇA" u="1"/>
        <s v="DESCO" u="1"/>
        <s v="VICTOR VIEIRA" u="1"/>
        <s v="MCE MICROTECNICA" u="1"/>
        <s v="HOTEL NACIONAL" u="1"/>
        <s v="SUPERFICIE QUIMICA" u="1"/>
        <s v="ELX" u="1"/>
        <s v="PROAUTO" u="1"/>
        <s v="CONDUMIG" u="1"/>
        <s v="RR RESISTORES" u="1"/>
        <s v="LUCAS DOMINGUES" u="1"/>
        <s v="E.B.DAVANTEL (MERCADO LIVRE)" u="1"/>
        <s v="EDUARDO" u="1"/>
        <s v="CORREIOS" u="1"/>
        <s v="ELETROMEI" u="1"/>
        <s v="MINAS FERRAMENTAS" u="1"/>
        <s v="MACROTEC" u="1"/>
        <s v="TRIFERRO" u="1"/>
        <s v="CMI AUTOMAÇÃO LTDA" u="1"/>
        <s v="WIREFLEX" u="1"/>
        <s v="PROJETO COMISA" u="1"/>
        <s v="TRANSFORMADORES CAV" u="1"/>
        <s v="IBIS STYLES - OPERAR HOTEIS" u="1"/>
        <s v="GSRA RESTAURANTE/SOUZA CRUZ " u="1"/>
        <s v="BANCODOC" u="1"/>
        <s v="MECANICA NET" u="1"/>
        <s v="HOTEL AVENIDA/SILAS" u="1"/>
        <s v="MLM" u="1"/>
        <s v="ORION" u="1"/>
        <s v="BIOCENTRO" u="1"/>
        <s v="MARCIO/MARCELO" u="1"/>
        <s v="SIBRATEC - CCA" u="1"/>
        <s v="PINTURA PAINEIS" u="1"/>
        <s v="FORTAÇO FERRO E AÇO" u="1"/>
        <s v="DELL" u="1"/>
        <s v="FRIOVIX" u="1"/>
        <s v="ALOSTECCH" u="1"/>
        <s v="POLIMETAL" u="1"/>
        <s v="ALL COMERCIO" u="1"/>
        <s v="WW UNIFORMES" u="1"/>
        <s v="AMERICAN HOTEL" u="1"/>
        <s v="OFICINA DOS BITS" u="1"/>
        <s v="EXPRESSO UNIBOY DO REI" u="1"/>
        <s v="HARTING" u="1"/>
        <s v="ENERGY COMP" u="1"/>
        <s v="DEPOSITO - MISCELANEAS" u="1"/>
        <s v="BAUMER" u="1"/>
        <s v="PRIMUS COMERCIO" u="1"/>
        <s v="FERRAMENTAS GERAIS" u="1"/>
        <s v="TERCEIROS - LORENA" u="1"/>
        <s v="LUIZ ALVES" u="1"/>
        <s v="MCA CONTROLES" u="1"/>
        <s v="EXPRESSA ELETRICA" u="1"/>
        <s v="ALIEM" u="1"/>
        <s v="ELITE EPI" u="1"/>
        <s v="EPOXIFORMAS" u="1"/>
        <s v="MIB MECANICA" u="1"/>
        <s v="DESPESAS SILAS" u="1"/>
        <s v="PHOENIX CONTACT" u="1"/>
        <s v="LIDER DOS PARAFUSOS" u="1"/>
        <s v="AVANT" u="1"/>
        <s v="ELETRISOL" u="1"/>
        <s v="DARAN" u="1"/>
        <s v="VARIXX" u="1"/>
        <s v="FLEXFORM" u="1"/>
        <s v="L.M TINTAS" u="1"/>
        <s v="COFERMETA S.A." u="1"/>
        <s v="GLOBAL INSTRUMENTOS" u="1"/>
        <s v="LABORATÓRIO LUSTOSA" u="1"/>
        <s v="MERCADO LIVRE / EASY CONTROLE" u="1"/>
        <s v="ACOMIX" u="1"/>
        <s v="COFERMETA" u="1"/>
        <s v="INTERFACE" u="1"/>
        <s v="INTERCABOS" u="1"/>
        <s v="SYSCONNECT" u="1"/>
        <s v="HANNOVER (BOLD)" u="1"/>
        <s v="CUSTO COM OS - NEILOR" u="1"/>
        <s v="SEW" u="1"/>
        <s v="EASY NOTE" u="1"/>
        <s v="ELETROCOM" u="1"/>
        <s v="SALONE HOTEL" u="1"/>
        <s v="ACE SCHMERSAL" u="1"/>
        <s v="THS COMPONENTES" u="1"/>
        <s v="IFM" u="1"/>
        <s v="CONEXEL" u="1"/>
        <s v="SOLTALENTO" u="1"/>
        <s v="AWC ENGENHARIA" u="1"/>
        <s v="JP COMERCIO" u="1"/>
        <s v="AJS COMERCIO" u="1"/>
        <s v="OHMIC" u="1"/>
        <s v="FITTER" u="1"/>
        <s v="CONTEMP" u="1"/>
        <s v="CUSTO COM OS - FABIANO" u="1"/>
        <s v="CUSTO COM OS - RODRIGO" u="1"/>
        <s v="EQUIFLEX" u="1"/>
        <s v="DESPESAS MARCIO" u="1"/>
        <s v="CUSTO COM OS - MÁRCIO" u="1"/>
        <s v="CCA IND E COM DE MAT ELETRICOS LTDA" u="1"/>
        <s v="ERTELC" u="1"/>
        <s v="MIGTECH" u="1"/>
        <s v="FABIANO/MARCIO" u="1"/>
        <s v="FERRAGENS INCONF." u="1"/>
        <s v="PROAUTO ELECTRIC LTDA" u="1"/>
        <s v="COMPAC" u="1"/>
        <s v="POWER CONTROLES" u="1"/>
        <s v="MVX COMERCIO ELETRONICO" u="1"/>
        <s v="BH SEG" u="1"/>
        <s v="G.M.I DISTRIBUIDORA" u="1"/>
        <s v="SILAS - ALIMENTAÇÃO/COMBUSTIVEL" u="1"/>
        <s v="ENGETRON" u="1"/>
        <s v="SCHMERSAL" u="1"/>
        <s v="RB COMERCIO" u="1"/>
        <s v="RENATO MELO" u="1"/>
        <s v="SINAL VERDE" u="1"/>
        <s v="SILAS/MARCIO" u="1"/>
        <s v="MAICOL DE SOUZA" u="1"/>
        <s v="CARTÓRIO TRIGNELLI" u="1"/>
        <s v="CEITEL" u="1"/>
        <s v="SICK" u="1"/>
        <s v="IMEVAL" u="1"/>
        <s v="SCHNEIDER" u="1"/>
        <s v="TELAS UNIAO" u="1"/>
        <s v="MARCOS/FABIANO" u="1"/>
        <s v="APS COMPONENTES" u="1"/>
        <s v="MICROCENTER" u="1"/>
        <s v="PROSEK EQUIPAMENTOS" u="1"/>
        <s v="CREA - ANUIDADE" u="1"/>
        <s v="VINICIUS SOUZA SILVA" u="1"/>
        <s v="PAPELARIA MAGNO EIRELI" u="1"/>
        <s v="TERCEIROS - BH SERVIÇOS ELET" u="1"/>
        <s v="GRSA" u="1"/>
        <s v="PUT PUT COMERCIO" u="1"/>
        <s v="INDUSTRIA MECANICA NETO" u="1"/>
        <s v="ELETROTASK" u="1"/>
        <s v="JOSIEL NEIVA" u="1"/>
        <s v="SILAS/MARCOS" u="1"/>
        <s v="IMTECH INDUS." u="1"/>
        <s v="REAL MANGUEIRAS" u="1"/>
        <s v="SAREL" u="1"/>
        <s v="AMILTECH" u="1"/>
        <s v="MULTILUZ" u="1"/>
        <s v="THS COMANDOS" u="1"/>
        <s v="COPPER BARRAS" u="1"/>
        <s v="WARLEI ANDERSON" u="1"/>
        <s v="FENIX HOTEL ARAXÁ" u="1"/>
        <s v="WEIDMULLER CONEXEL" u="1"/>
        <s v="B2W" u="1"/>
        <s v="WEG" u="1"/>
        <s v="FARCEL" u="1"/>
        <s v="NORTEL" u="1"/>
        <s v="WEG " u="1"/>
        <s v="ISOLET" u="1"/>
        <s v="BECKHOFF" u="1"/>
        <s v="DESPESAS NEILOR" u="1"/>
        <s v="EUCHNER" u="1"/>
        <s v="GERAGAM ENERGIA" u="1"/>
        <s v="OFICIO UNIFORMES" u="1"/>
        <s v="BUNZL" u="1"/>
        <s v="EI SHOP" u="1"/>
        <s v="HCL AUTOMAÇAO" u="1"/>
        <s v="GERAIS ELETRICA" u="1"/>
        <s v="DUTOPLAST" u="1"/>
        <s v="CUSTO COM OS - RAMON" u="1"/>
        <s v="DANIEL MENDES NASCIMENTO" u="1"/>
        <s v="MANG BET" u="1"/>
        <s v="CONDUCTIX" u="1"/>
        <s v="PRECO FINO" u="1"/>
        <s v="KRAUS &amp; NAIMER" u="1"/>
        <s v="BUNZL EQUIPAMENTOS" u="1"/>
        <s v="EATACIONAMENTO PARK YOU" u="1"/>
        <s v="MONTAL" u="1"/>
        <s v="SIEMENS" u="1"/>
        <s v="TELTRAN" u="1"/>
        <s v="MERCADO LIVRE" u="1"/>
        <s v="CHP - REFRIGERADOR" u="1"/>
        <s v="CND MATERIAL ELÉTRICO" u="1"/>
        <s v="LORRENA" u="1"/>
        <s v="IRMÃOS FERRAGENS" u="1"/>
        <s v="MARP" u="1"/>
        <s v="FABIANO" u="1"/>
        <s v="EUROCABOS" u="1"/>
        <s v="BRASFORMER" u="1"/>
        <s v="MAAC TRAVEL" u="1"/>
        <s v="CASA DAS PISTOLAS" u="1"/>
        <s v="WAGO" u="1"/>
        <s v="DENIS" u="1"/>
        <s v="CUSTO COM OS - SILAS" u="1"/>
        <s v="TOCK PARAFUSOS" u="1"/>
        <s v="PONTO DO INCENDIO" u="1"/>
        <s v="IVO" u="1"/>
        <s v="AÇOCON" u="1"/>
        <s v="TERMOTUBOS" u="1"/>
        <s v="ATTIVA NEWS" u="1"/>
        <s v="SINAL PLACAS" u="1"/>
        <s v="FOCO COMUNICAÇÃO" u="1"/>
        <s v="POLUS" u="1"/>
        <s v="DANFOSS" u="1"/>
        <s v="EEL Service" u="1"/>
        <s v="MLM ACIONAMENTOS" u="1"/>
        <s v="HELUKABEL" u="1"/>
        <s v="GRAFICA LUA" u="1"/>
        <s v="O CONSTRUTOR" u="1"/>
        <s v="EDSON MIRANDA" u="1"/>
        <s v="TATIANA DE GIRONI" u="1"/>
        <s v="HOTELAR HOTEL (CHARRUA)" u="1"/>
        <s v="FINDER" u="1"/>
        <s v="BH SERVIÇOS" u="1"/>
        <s v="MGP COMERCIO" u="1"/>
        <s v="CIM AUTOMACAO" u="1"/>
        <s v="FUSION TELECOMUNICACOES" u="1"/>
        <s v="FORTLIGHT" u="1"/>
        <s v="JUNIO VARIEDADES" u="1"/>
      </sharedItems>
    </cacheField>
    <cacheField name="OP/OS" numFmtId="0">
      <sharedItems containsNonDate="0" containsBlank="1" count="178">
        <m/>
        <s v="OS028/2020" u="1"/>
        <s v="OS066/2021" u="1"/>
        <s v="OS022/2021" u="1"/>
        <s v="OS050/2019" u="1"/>
        <s v="OS084/2018" u="1"/>
        <s v="ORÇAMENTO ALOISIO" u="1"/>
        <s v="OS012/2020" u="1"/>
        <s v="OS009/2020" u="1"/>
        <s v="OS098/2015" u="1"/>
        <s v="OS146/2017" u="1"/>
        <s v="OS194/2021" u="1"/>
        <s v="OS003/2021" u="1"/>
        <s v="OS184/2020" u="1"/>
        <s v="OS038/2022" u="1"/>
        <s v="OS065/2020" u="1"/>
        <s v="OS021/2020" u="1"/>
        <s v="OS131/2019" u="1"/>
        <s v="OS012/2019" u="1"/>
        <s v="OS018/2020" u="1"/>
        <s v="OS046/2018" u="1"/>
        <s v="OS131/2021" u="1"/>
        <s v="OS165/2020" u="1"/>
        <s v="OS019/2022" u="1"/>
        <s v="OS040/2019" u="1"/>
        <s v="OS037/2019" u="1"/>
        <s v="OS112/2019" u="1"/>
        <s v="OS027/2018" u="1"/>
        <s v="OS037/2021" u="1"/>
        <s v="OS109/2019" u="1"/>
        <s v="OS055/2018" u="1"/>
        <s v="OS089/2017" u="1"/>
        <s v="OS099/2020" u="1"/>
        <s v="OS083/2020" u="1"/>
        <s v="OS117/2017" u="1"/>
        <s v="OS121/2019" u="1"/>
        <s v="OS127/2020" u="1"/>
        <s v="OS199/2020" u="1"/>
        <s v="OS118/2019" u="1"/>
        <s v="OS145/2017" u="1"/>
        <s v="OS155/2020" u="1"/>
        <s v="OS030/2019" u="1"/>
        <s v="OS036/2020" u="1"/>
        <s v="OS102/2019" u="1"/>
        <s v="OS089/2018" u="1"/>
        <s v="OS092/2020" u="1"/>
        <s v="OS136/2020" u="1"/>
        <s v="OS174/2021" u="1"/>
        <s v="OS198/2017" u="1"/>
        <s v="OS055/2021" u="1"/>
        <s v="OS089/2020" u="1"/>
        <s v="OS130/2021" u="1"/>
        <s v="OS154/2017" u="1"/>
        <s v="OS045/2020" u="1"/>
        <s v="OS073/2018" u="1"/>
        <s v="OS120/2020" u="1"/>
        <s v="OS182/2017" u="1"/>
        <s v="OS036/2019" u="1"/>
        <s v="OS026/2018" u="1"/>
        <s v="OS036/2021" u="1"/>
        <s v="OS026/2020" u="1"/>
        <s v="OS163/2017" u="1"/>
        <s v="OS020/2021" u="1"/>
        <s v="OS092/2021" u="1"/>
        <s v="OS010/2020" u="1"/>
        <s v="OS126/2020" u="1"/>
        <s v="C.C ENGENHARIA" u="1"/>
        <s v="MLM" u="1"/>
        <s v="OS007/2020" u="1"/>
        <s v="OS045/2021" u="1"/>
        <s v="OS069/2017" u="1"/>
        <s v="OS120/2021" u="1"/>
        <s v="OS001/2021" u="1"/>
        <s v="OS107/2020" u="1"/>
        <s v="OS179/2020" u="1"/>
        <s v="OS054/2019" u="1"/>
        <s v="OS101/2021" u="1"/>
        <s v="OS197/2017" u="1"/>
        <s v="OS210/2020" u="1"/>
        <s v="OS010/2021" u="1"/>
        <s v="OS082/2021" u="1"/>
        <s v="OS110/2019" u="1"/>
        <s v="OS069/2020" u="1"/>
        <s v="OS097/2018" u="1"/>
        <s v="OS135/2019" u="1"/>
        <s v="OS016/2019" u="1"/>
        <s v="OS053/2020" u="1"/>
        <s v="OS125/2018" u="1"/>
        <s v="OS1000/2019" u="1"/>
        <s v="ATIVO IMOBILIZADO" u="1"/>
        <s v="OS069/17 // OS070/2017" u="1"/>
        <s v="OS071/2017" u="1"/>
        <s v="OS044/2021" u="1"/>
        <s v="OS116/2019" u="1"/>
        <s v="OS106/2018" u="1"/>
        <s v="OS144/2019" u="1"/>
        <s v="OS025/2019" u="1"/>
        <s v="OS069/2021" u="1"/>
        <s v="OS100/2019" u="1"/>
        <s v="OS106/2020" u="1"/>
        <s v="OS042/2016" u="1"/>
        <s v="OS049/2017" u="1"/>
        <s v="OS053/2019" u="1"/>
        <s v="OS090/2020" u="1"/>
        <s v="MLM ACION" u="1"/>
        <s v="OS043/2020" u="1"/>
        <s v="OS068/2020" u="1"/>
        <s v="OS024/2020" u="1"/>
        <s v="OS052/2018" u="1"/>
        <s v="OS052/2020" u="1"/>
        <s v="OS090/2021" u="1"/>
        <s v="OS158/2017" u="1"/>
        <s v="OS168/2020" u="1"/>
        <s v="OS005/2018" u="1"/>
        <s v="OS015/2021" u="1"/>
        <s v="OS080/2020" u="1"/>
        <s v="OS043/2021" u="1"/>
        <s v="OS077/2020" u="1"/>
        <s v="OS142/2017" u="1"/>
        <s v="OS159/2021" u="1"/>
        <s v="OS061/2018" u="1"/>
        <s v="OS143/2019" u="1"/>
        <s v="OS133/2018" u="1"/>
        <s v="OS143/2021" u="1"/>
        <s v="OS177/2020" u="1"/>
        <s v="OS024/2021" u="1"/>
        <s v="OS052/2019" u="1"/>
        <s v="OS123/2017" u="1"/>
        <s v="OS042/2018" u="1"/>
        <s v="OS015/2022" u="1"/>
        <s v="OS039/2018" u="1"/>
        <s v="OS005/2021" u="1"/>
        <s v="OS033/2019" u="1"/>
        <s v="OS114/2020" u="1"/>
        <s v="OS176/2017" u="1"/>
        <s v="OS061/2019" u="1"/>
        <s v="ORÇAMENTO" u="1"/>
        <s v="OS047/2016" u="1"/>
        <s v="OS058/2019" u="1"/>
        <s v="OS048/2018" u="1"/>
        <s v="OS075/2016" u="1"/>
        <s v="OS157/2017" u="1"/>
        <s v="OS032/2018" u="1"/>
        <s v="OS042/2021" u="1"/>
        <s v="OS141/2017" u="1"/>
        <s v="OS070/2021" u="1"/>
        <s v="OS104/2018" u="1"/>
        <s v="OS129/2018" u="1"/>
        <s v="OS139/2021" u="1"/>
        <s v="OS013/2020" u="1"/>
        <s v="OS167/2021" u="1"/>
        <s v="OS204/2020" u="1"/>
        <s v="OS041/2020" u="1"/>
        <s v="OS157/2020" u="1"/>
        <s v="OS195/2021" u="1"/>
        <s v="OS076/2021" u="1"/>
        <s v="OS029/2019" u="1"/>
        <s v="OS056/2017" u="1"/>
        <s v="OS022/2020" u="1"/>
        <s v="OS029/2021" u="1"/>
        <s v="OS057/2019" u="1"/>
        <s v="OS060/2021" u="1"/>
        <s v="OS094/2020" u="1"/>
        <s v="OS132/2019" u="1"/>
        <s v="OS019/2020" u="1"/>
        <s v="OS047/2018" u="1"/>
        <s v="OS050/2020" u="1"/>
        <s v="OS057/2021" u="1"/>
        <s v="OS122/2018" u="1"/>
        <s v="OS166/2020" u="1"/>
        <s v="OS047/2020" u="1"/>
        <s v="OS075/2018" u="1"/>
        <s v="OS194/2020" u="1"/>
        <s v="OS003/2020" u="1"/>
        <s v="OS075/2020" u="1"/>
        <s v="OS113/2019" u="1"/>
        <s v="OS140/2017" u="1"/>
        <s v="OS141/2019" u="1"/>
      </sharedItems>
    </cacheField>
    <cacheField name="DATA COMPRA" numFmtId="14">
      <sharedItems containsNonDate="0" containsString="0" containsBlank="1" count="1">
        <m/>
      </sharedItems>
    </cacheField>
    <cacheField name="PREVISÃO CHEGADA" numFmtId="14">
      <sharedItems containsNonDate="0" containsString="0" containsBlank="1" count="1">
        <m/>
      </sharedItems>
    </cacheField>
    <cacheField name="COND. PGT." numFmtId="0">
      <sharedItems containsNonDate="0" containsString="0" containsBlank="1" containsNumber="1" containsInteger="1" minValue="-4" maxValue="90" count="32">
        <m/>
        <n v="0" u="1"/>
        <n v="5" u="1"/>
        <n v="14" u="1"/>
        <n v="42" u="1"/>
        <n v="15" u="1"/>
        <n v="2" u="1"/>
        <n v="17" u="1"/>
        <n v="18" u="1"/>
        <n v="90" u="1"/>
        <n v="7" u="1"/>
        <n v="20" u="1"/>
        <n v="56" u="1"/>
        <n v="-4" u="1"/>
        <n v="21" u="1"/>
        <n v="35" u="1"/>
        <n v="22" u="1"/>
        <n v="60" u="1"/>
        <n v="1" u="1"/>
        <n v="23" u="1"/>
        <n v="8" u="1"/>
        <n v="24" u="1"/>
        <n v="25" u="1"/>
        <n v="26" u="1"/>
        <n v="45" u="1"/>
        <n v="10" u="1"/>
        <n v="28" u="1"/>
        <n v="-2" u="1"/>
        <n v="84" u="1"/>
        <n v="11" u="1"/>
        <n v="30" u="1"/>
        <n v="4" u="1"/>
      </sharedItems>
    </cacheField>
    <cacheField name="VALOR " numFmtId="166">
      <sharedItems containsNonDate="0" containsString="0" containsBlank="1"/>
    </cacheField>
    <cacheField name="CATEGORIA" numFmtId="0">
      <sharedItems containsNonDate="0" containsBlank="1" count="11">
        <m/>
        <s v="CONSUMO" u="1"/>
        <s v="SERVIÇOS" u="1"/>
        <s v="USO E CONSUMO" u="1"/>
        <s v="OUTROS" u="1"/>
        <s v="FERRAMENTAS" u="1"/>
        <s v="VIAGENS" u="1"/>
        <s v="USO CONSUMO" u="1"/>
        <s v="REVENDA" u="1"/>
        <s v="MATERIA PRIMA" u="1"/>
        <s v="EPI" u="1"/>
      </sharedItems>
    </cacheField>
    <cacheField name="OBSERVAÇÃO" numFmtId="0">
      <sharedItems containsNonDate="0" containsString="0" containsBlank="1"/>
    </cacheField>
    <cacheField name="MÊS COMPRA" numFmtId="0">
      <sharedItems count="14">
        <s v="--"/>
        <s v="JANEIRO" u="1"/>
        <s v="ABRIL" u="1"/>
        <s v="JULHO" u="1"/>
        <s v="DEZEMBRO" u="1"/>
        <s v="OUTUBRO" u="1"/>
        <s v="JUNHO" u="1"/>
        <s v="FORA DO CALENDARIO" u="1"/>
        <s v="SETEMBRO" u="1"/>
        <s v="MAIO" u="1"/>
        <s v="NOVEMBRO" u="1"/>
        <s v="AGOSTO" u="1"/>
        <s v="MARÇO" u="1"/>
        <s v="FEVEREIRO" u="1"/>
      </sharedItems>
    </cacheField>
    <cacheField name="ANO COMPRA" numFmtId="0">
      <sharedItems containsSemiMixedTypes="0" containsString="0" containsNumber="1" containsInteger="1" minValue="1900" maxValue="190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36111" createdVersion="4" refreshedVersion="8" minRefreshableVersion="3" recordCount="2" xr:uid="{00000000-000A-0000-FFFF-FFFF04000000}">
  <cacheSource type="worksheet">
    <worksheetSource name="LANC_HORAS"/>
  </cacheSource>
  <cacheFields count="26">
    <cacheField name="OP/OS" numFmtId="0">
      <sharedItems containsNonDate="0" containsString="0" containsBlank="1" containsNumber="1" containsInteger="1" minValue="1078" maxValue="468741" count="65">
        <m/>
        <n v="4359" u="1"/>
        <n v="1106" u="1"/>
        <n v="4397" u="1"/>
        <n v="4364" u="1"/>
        <n v="4331" u="1"/>
        <n v="468741" u="1"/>
        <n v="1099" u="1"/>
        <n v="4369" u="1"/>
        <n v="4374" u="1"/>
        <n v="4341" u="1"/>
        <n v="4308" u="1"/>
        <n v="4346" u="1"/>
        <n v="4384" u="1"/>
        <n v="4351" u="1"/>
        <n v="4389" u="1"/>
        <n v="1078" u="1"/>
        <n v="4356" u="1"/>
        <n v="4394" u="1"/>
        <n v="4361" u="1"/>
        <n v="4366" u="1"/>
        <n v="4371" u="1"/>
        <n v="4338" u="1"/>
        <n v="1083" u="1"/>
        <n v="4376" u="1"/>
        <n v="4343" u="1"/>
        <n v="4381" u="1"/>
        <n v="4353" u="1"/>
        <n v="4358" u="1"/>
        <n v="4363" u="1"/>
        <n v="4368" u="1"/>
        <n v="465589" u="1"/>
        <n v="4373" u="1"/>
        <n v="4340" u="1"/>
        <n v="4378" u="1"/>
        <n v="4383" u="1"/>
        <n v="4388" u="1"/>
        <n v="4355" u="1"/>
        <n v="1105" u="1"/>
        <n v="4360" u="1"/>
        <n v="4365" u="1"/>
        <n v="4370" u="1"/>
        <n v="4375" u="1"/>
        <n v="4342" u="1"/>
        <n v="4309" u="1"/>
        <n v="4380" u="1"/>
        <n v="4347" u="1"/>
        <n v="4385" u="1"/>
        <n v="4352" u="1"/>
        <n v="4357" u="1"/>
        <n v="4324" u="1"/>
        <n v="4395" u="1"/>
        <n v="4362" u="1"/>
        <n v="4367" u="1"/>
        <n v="1108" u="1"/>
        <n v="4372" u="1"/>
        <n v="1101" u="1"/>
        <n v="4377" u="1"/>
        <n v="4344" u="1"/>
        <n v="4382" u="1"/>
        <n v="1094" u="1"/>
        <n v="4349" u="1"/>
        <n v="1113" u="1"/>
        <n v="4354" u="1"/>
        <n v="4392" u="1"/>
      </sharedItems>
    </cacheField>
    <cacheField name="DATA" numFmtId="14">
      <sharedItems containsNonDate="0" containsString="0" containsBlank="1" count="1">
        <m/>
      </sharedItems>
    </cacheField>
    <cacheField name="TIPO" numFmtId="0">
      <sharedItems containsNonDate="0" containsBlank="1" count="3">
        <m/>
        <s v="NORMAL" u="1"/>
        <s v="TESTE" u="1"/>
      </sharedItems>
    </cacheField>
    <cacheField name="FASE" numFmtId="0">
      <sharedItems containsNonDate="0" containsString="0" containsBlank="1"/>
    </cacheField>
    <cacheField name="FUNCIONARIO" numFmtId="0">
      <sharedItems containsNonDate="0" containsBlank="1" count="22">
        <m/>
        <s v="MAXUEL" u="1"/>
        <s v="GILSON" u="1"/>
        <s v="BRUNO" u="1"/>
        <s v="DANIEL" u="1"/>
        <s v="DANILO" u="1"/>
        <s v="ALEFF" u="1"/>
        <s v="CARLOS" u="1"/>
        <s v="LEONARDO" u="1"/>
        <s v="ANTONIO CARLOS" u="1"/>
        <s v="CASSIO" u="1"/>
        <s v="VILSON" u="1"/>
        <s v="REINALDO" u="1"/>
        <s v="ANTONIO MAIA" u="1"/>
        <s v="KLEBER" u="1"/>
        <s v="VISMAR" u="1"/>
        <s v="ARNALDO" u="1"/>
        <s v="FLAVIO" u="1"/>
        <s v="ITALO" u="1"/>
        <s v="GUILHERME" u="1"/>
        <s v="RODRIGUES" u="1"/>
        <s v="ALEXANDRE" u="1"/>
      </sharedItems>
    </cacheField>
    <cacheField name="ENT. MANHA" numFmtId="167">
      <sharedItems containsNonDate="0" containsString="0" containsBlank="1"/>
    </cacheField>
    <cacheField name="SAIDA MANHA" numFmtId="167">
      <sharedItems containsNonDate="0" containsString="0" containsBlank="1"/>
    </cacheField>
    <cacheField name="ENT. TARDE" numFmtId="167">
      <sharedItems containsNonDate="0" containsString="0" containsBlank="1"/>
    </cacheField>
    <cacheField name="SAIDA TARDE" numFmtId="167">
      <sharedItems containsNonDate="0" containsString="0" containsBlank="1"/>
    </cacheField>
    <cacheField name="TOTAL H.N" numFmtId="165">
      <sharedItems/>
    </cacheField>
    <cacheField name="TOTAL H.E" numFmtId="165">
      <sharedItems/>
    </cacheField>
    <cacheField name="OBSERVAÇÕES" numFmtId="0">
      <sharedItems containsNonDate="0" containsString="0" containsBlank="1"/>
    </cacheField>
    <cacheField name="HORAS TR.MANHA" numFmtId="165">
      <sharedItems containsSemiMixedTypes="0" containsNonDate="0" containsDate="1" containsString="0" minDate="1899-12-30T00:00:00" maxDate="1899-12-31T00:00:00"/>
    </cacheField>
    <cacheField name="HORAS TR.TARDE" numFmtId="165">
      <sharedItems containsSemiMixedTypes="0" containsNonDate="0" containsDate="1" containsString="0" minDate="1899-12-30T00:00:00" maxDate="1899-12-31T00:00:00"/>
    </cacheField>
    <cacheField name="VALOR HXH NORMAL" numFmtId="166">
      <sharedItems/>
    </cacheField>
    <cacheField name="VALOR HXH E_60%" numFmtId="166">
      <sharedItems/>
    </cacheField>
    <cacheField name="VALOR HXH E_75%" numFmtId="166">
      <sharedItems/>
    </cacheField>
    <cacheField name="VALOR HXH E_100%" numFmtId="166">
      <sharedItems/>
    </cacheField>
    <cacheField name="VALOR TOTAL NORMAL" numFmtId="166">
      <sharedItems/>
    </cacheField>
    <cacheField name="VALOR TOTAL60%" numFmtId="166">
      <sharedItems/>
    </cacheField>
    <cacheField name="VALOR TOTAL75%" numFmtId="166">
      <sharedItems/>
    </cacheField>
    <cacheField name="VALOR TOTAL100%" numFmtId="166">
      <sharedItems/>
    </cacheField>
    <cacheField name="TOTAL GERAL NORMAL" numFmtId="166">
      <sharedItems/>
    </cacheField>
    <cacheField name="TOTAL GERAL EXTRAS" numFmtId="166">
      <sharedItems containsSemiMixedTypes="0" containsString="0" containsNumber="1" containsInteger="1" minValue="0" maxValue="0"/>
    </cacheField>
    <cacheField name="TOTAL GERAL " numFmtId="166">
      <sharedItems containsSemiMixedTypes="0" containsString="0" containsNumber="1" containsInteger="1" minValue="0" maxValue="0"/>
    </cacheField>
    <cacheField name="MÊS" numFmtId="0">
      <sharedItems count="3">
        <s v="FORA DO CALENDARIO"/>
        <s v="JANEIRO" u="1"/>
        <s v="FEVEREIRO" u="1"/>
      </sharedItems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476849" createdVersion="4" refreshedVersion="8" minRefreshableVersion="3" recordCount="3" xr:uid="{00000000-000A-0000-FFFF-FFFF03000000}">
  <cacheSource type="worksheet">
    <worksheetSource name="LANC_DESLOC"/>
  </cacheSource>
  <cacheFields count="12">
    <cacheField name="OS/OP" numFmtId="0">
      <sharedItems containsNonDate="0" containsBlank="1" count="4">
        <m/>
        <s v="O076/2016; OS046/2018" u="1"/>
        <s v="OS0462018" u="1"/>
        <s v="OS052/2019" u="1"/>
      </sharedItems>
    </cacheField>
    <cacheField name="DATA" numFmtId="0">
      <sharedItems containsNonDate="0" containsString="0" containsBlank="1" containsNumber="1" containsInteger="1" minValue="43119" maxValue="43611" count="4">
        <m/>
        <n v="43346" u="1"/>
        <n v="43611" u="1"/>
        <n v="43119" u="1"/>
      </sharedItems>
    </cacheField>
    <cacheField name="FUNCIONARIO" numFmtId="0">
      <sharedItems containsNonDate="0" containsBlank="1" count="3">
        <m/>
        <s v="MARCIO" u="1"/>
        <s v="FABIANO" u="1"/>
      </sharedItems>
    </cacheField>
    <cacheField name="CARRO" numFmtId="0">
      <sharedItems containsNonDate="0" containsString="0" containsBlank="1" count="1">
        <m/>
      </sharedItems>
    </cacheField>
    <cacheField name="CLIENTE" numFmtId="0">
      <sharedItems containsNonDate="0" containsBlank="1" count="3">
        <m/>
        <s v="SOUZA CRUZ" u="1"/>
        <s v="S RIKO" u="1"/>
      </sharedItems>
    </cacheField>
    <cacheField name="KM RODADOS" numFmtId="0">
      <sharedItems containsNonDate="0" containsString="0" containsBlank="1" containsNumber="1" containsInteger="1" minValue="42" maxValue="1280" count="4">
        <m/>
        <n v="42" u="1"/>
        <n v="1280" u="1"/>
        <n v="1200" u="1"/>
      </sharedItems>
    </cacheField>
    <cacheField name="TAXA" numFmtId="0">
      <sharedItems containsNonDate="0" containsString="0" containsBlank="1" containsNumber="1" containsInteger="1" minValue="1" maxValue="1" count="2">
        <m/>
        <n v="1" u="1"/>
      </sharedItems>
    </cacheField>
    <cacheField name="VALOR R$" numFmtId="0">
      <sharedItems containsNonDate="0" containsString="0" containsBlank="1" containsNumber="1" containsInteger="1" minValue="42" maxValue="1280" count="4">
        <m/>
        <n v="42" u="1"/>
        <n v="1280" u="1"/>
        <n v="1200" u="1"/>
      </sharedItems>
    </cacheField>
    <cacheField name="OBSERVAÇÕES" numFmtId="0">
      <sharedItems containsNonDate="0" containsBlank="1" count="3">
        <m/>
        <s v="MARCIO" u="1"/>
        <s v="FABIANO" u="1"/>
      </sharedItems>
    </cacheField>
    <cacheField name="IMPRIMIR?" numFmtId="0">
      <sharedItems containsNonDate="0" containsString="0" containsBlank="1" count="1">
        <m/>
      </sharedItems>
    </cacheField>
    <cacheField name="MÊS" numFmtId="0">
      <sharedItems count="1">
        <s v="FORA DO CALENDARIO"/>
      </sharedItems>
    </cacheField>
    <cacheField name="ANO" numFmtId="0">
      <sharedItems containsSemiMixedTypes="0" containsString="0" containsNumber="1" containsInteger="1" minValue="1900" maxValue="1900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592595" createdVersion="4" refreshedVersion="8" minRefreshableVersion="3" recordCount="5" xr:uid="{00000000-000A-0000-FFFF-FFFF02000000}">
  <cacheSource type="worksheet">
    <worksheetSource name="LANC_DESPESAS"/>
  </cacheSource>
  <cacheFields count="12">
    <cacheField name="OS/OP" numFmtId="0">
      <sharedItems containsNonDate="0" containsBlank="1" count="47">
        <m/>
        <s v="OS119/2021" u="1"/>
        <s v="OS184/2020" u="1"/>
        <s v="OS1872021" u="1"/>
        <s v="OS092/2020" u="1"/>
        <s v="OS102/2021" u="1"/>
        <s v="OS174/2021" u="1"/>
        <s v="OS130/2021" u="1"/>
        <s v="OS045/2020" u="1"/>
        <s v="OS120/2021" u="1"/>
        <s v="OS036/2022" u="1"/>
        <s v="C. C ENGENHARIA" u="1"/>
        <s v="OS101/2021" u="1"/>
        <s v="OS201/2021" u="1"/>
        <s v="OS088/2021" u="1"/>
        <s v="OS207/2021" u="1"/>
        <s v="OS069/2021" u="1"/>
        <s v="OS044/2022" u="1"/>
        <s v="COMISSÃO" u="1"/>
        <s v="N/A" u="1"/>
        <s v="OS196/2020" u="1"/>
        <s v="OS206/2021" u="1"/>
        <s v="OS" u="1"/>
        <s v="OS043/2021" u="1"/>
        <s v="OS159/2021" u="1"/>
        <s v="OS115/2021" u="1"/>
        <s v="OS187/2021" u="1"/>
        <s v="OS143/2021" u="1"/>
        <s v="OS052/2021" u="1"/>
        <s v="OS196/2021" u="1"/>
        <s v="ORÇAMENTO" u="1"/>
        <s v="OS014/2021" u="1"/>
        <s v="OS042/2021" u="1"/>
        <s v="OS2003/2021" u="1"/>
        <s v="OS114/2021" u="1"/>
        <s v="OS142/2021" u="1"/>
        <s v="OS139/2021" u="1"/>
        <s v="OS014/2022" u="1"/>
        <s v="OS042/2022" u="1"/>
        <s v="OS076/2021" u="1"/>
        <s v="OS060/2021" u="1"/>
        <s v="OS050/2020" u="1"/>
        <s v="OS057/2021" u="1"/>
        <s v="OS194/2020" u="1"/>
        <s v="OS204/2021" u="1"/>
        <s v="OS041/2021" u="1"/>
        <s v="OS004/2022" u="1"/>
      </sharedItems>
    </cacheField>
    <cacheField name="DATA" numFmtId="14">
      <sharedItems containsNonDate="0" containsString="0" containsBlank="1" count="1">
        <m/>
      </sharedItems>
    </cacheField>
    <cacheField name="FUNCIONARIO" numFmtId="0">
      <sharedItems containsNonDate="0" containsBlank="1" count="11">
        <m/>
        <s v="SILAS" u="1"/>
        <s v="MARCELO" u="1"/>
        <s v="LUDMILLA" u="1"/>
        <s v="NEILOR" u="1"/>
        <s v="JOSIANE" u="1"/>
        <s v="ALOÍSIO" u="1"/>
        <s v="RAMON" u="1"/>
        <s v="FABIANO" u="1"/>
        <s v="RODRIGO" u="1"/>
        <s v="MÁRCIO" u="1"/>
      </sharedItems>
    </cacheField>
    <cacheField name="FORNECEDOR" numFmtId="0">
      <sharedItems containsNonDate="0" containsBlank="1" count="118">
        <m/>
        <s v="REST TABARI" u="1"/>
        <s v="ELASA - ELO ALIMENTAÇÃO AS" u="1"/>
        <s v="REST COIMBRA" u="1"/>
        <s v="REST VILA LOBOS" u="1"/>
        <s v="BAR E REST MARIANA" u="1"/>
        <s v="CHURRAS BEIJA FLOR" u="1"/>
        <s v="CHURRAS GAUCHA" u="1"/>
        <s v="CONCEBRA" u="1"/>
        <s v="SWAN TOWER" u="1"/>
        <s v="BUSAO 262" u="1"/>
        <s v="ALEX TRAILER" u="1"/>
        <s v="ESTAC SANTO ANTÔNIO" u="1"/>
        <s v="BAR E REST FOGAO A LENHA" u="1"/>
        <s v="POSTO  FELIPE" u="1"/>
        <s v="MM SERV E PROD" u="1"/>
        <s v="PEIXARIA SO FILE" u="1"/>
        <s v="ROSELLENE M BUCHE" u="1"/>
        <s v="POSTO DENISE II" u="1"/>
        <s v="CONCES. AEROPORTO" u="1"/>
        <s v="FERRAGENS PREÇO FINO" u="1"/>
        <s v="LEO EPI" u="1"/>
        <s v="POSTO PODIUM" u="1"/>
        <s v="ROSENVI MATERIAIS" u="1"/>
        <s v="ROTA DE SANTA MARIA" u="1"/>
        <s v="POSTO CHAMA" u="1"/>
        <s v="AUTOPISTA FERNÃO DIAS" u="1"/>
        <s v="A VENCEDORA" u="1"/>
        <s v="POSTO CHEFAO" u="1"/>
        <s v="FORMIGA DOCEIRA" u="1"/>
        <s v="COM MOREIRA E MARCIEL" u="1"/>
        <s v="POSTO CURVA DO RETIRO" u="1"/>
        <s v="POSTO VILA CALIFORNIA" u="1"/>
        <s v="REST CRISTALINA" u="1"/>
        <s v="CHURRAS VARANDA VERDE" u="1"/>
        <s v="POSTO R.E.M" u="1"/>
        <s v="REST PREÇO BOM" u="1"/>
        <s v="LANCHONETE CHEFÃO" u="1"/>
        <s v="POSTO VILA FERNAO DIAS" u="1"/>
        <s v="IRMAOS EMPADA" u="1"/>
        <s v="PANIFICADORA DUPAO" u="1"/>
        <s v="CERVEJARIA CATEDRAL" u="1"/>
        <s v="TROPEIRO DO ALMERICO" u="1"/>
        <s v="REST BH RIO" u="1"/>
        <s v="BEZERRAO BAR E REST" u="1"/>
        <s v="ERNANI SILVA" u="1"/>
        <s v="LOJAO DOS EPI'S" u="1"/>
        <s v="BATERIAS E CIA" u="1"/>
        <s v="BAR E REST 3 PODERES" u="1"/>
        <s v="POSTO LAGOA DAS PEDRAS" u="1"/>
        <s v="MONTAGEM" u="1"/>
        <s v="LANCH. PINGO DE OURO" u="1"/>
        <s v="IDF COM DE ALIMENT" u="1"/>
        <s v="ADRIANE BUSTAMANTE" u="1"/>
        <s v="ELASA" u="1"/>
        <s v="REST CANTINHO DO MARAC." u="1"/>
        <s v="SUBWAY" u="1"/>
        <s v="LAVA JATO ALTEROSA" u="1"/>
        <s v="OTIMO" u="1"/>
        <s v="PARADA DE MINAS" u="1"/>
        <s v="CANTINHO MINEIRO" u="1"/>
        <s v="POSTO TRÊS MOURÕES" u="1"/>
        <s v="POSTO PÉ LIBERIO" u="1"/>
        <s v="CHURRAS CHAPADA GAUCHA" u="1"/>
        <s v="POSTO JARDIM" u="1"/>
        <s v="LANCHONETE CHEFINHO." u="1"/>
        <s v="PANIFICADORA C&amp;E" u="1"/>
        <s v="VIA 040" u="1"/>
        <s v="PASSAGEM" u="1"/>
        <s v="ART BIANCA" u="1"/>
        <s v="CHURRAS CHARRUA" u="1"/>
        <s v="LANCHONETE RETIRO" u="1"/>
        <s v="BORRACHARIA DO MAGELA" u="1"/>
        <s v="VALE TRANSPOSRTE" u="1"/>
        <s v="REST REI DO CALDO" u="1"/>
        <s v="TROPEIRO DO ZEZE" u="1"/>
        <s v="LANCHONETE CHEFINHO" u="1"/>
        <s v="REST E POUSADA ACURUI" u="1"/>
        <s v="COM MOREIRIA E MARCIEL" u="1"/>
        <s v="REST E PIZZARIA DO GEGE" u="1"/>
        <s v="POSTO PANAMERA" u="1"/>
        <s v="VENETO EMPRE COM" u="1"/>
        <s v="N/A" u="1"/>
        <s v="ECO135" u="1"/>
        <s v="POSTOS SR" u="1"/>
        <s v="REST MAINA" u="1"/>
        <s v="ANDRADE E SOARES" u="1"/>
        <s v="ARTBIANCA" u="1"/>
        <s v="CASA MINEIRA" u="1"/>
        <s v="GARAPAO" u="1"/>
        <s v="LA MACELLERIA" u="1"/>
        <s v="REST PAULISTA" u="1"/>
        <s v="VIVENDA EMPREED" u="1"/>
        <s v="TROPEIRAO DO JUCAO" u="1"/>
        <s v="BISS CASA GRANDE HOTEL" u="1"/>
        <s v="LA MACELLERIA " u="1"/>
        <s v="ELÉTRICA E HIDRAULICA" u="1"/>
        <s v="POSTO FELIPE" u="1"/>
        <s v="POSTO IRMAOS TABARI" u="1"/>
        <s v="SOUZA E MALTA BAR" u="1"/>
        <s v="MUNDO ANIMAL" u="1"/>
        <s v="POSTO PONTO FORTE" u="1"/>
        <s v="REST RANCHO DO QUINTO" u="1"/>
        <s v="CASA DAS LONAS" u="1"/>
        <s v="POSTO OLARIA" u="1"/>
        <s v="POSTO DO PAPAI" u="1"/>
        <s v="POSTO AQUI MARTE" u="1"/>
        <s v="REST BEIJA FLOR" u="1"/>
        <s v="TELEPAR PARAFUSOS" u="1"/>
        <s v="POSTO PONTEIO" u="1"/>
        <s v="POSTO ALAMO" u="1"/>
        <s v="REST PE DA SERRA" u="1"/>
        <s v="LANCHONETE MILHAO" u="1"/>
        <s v="CREA-MG" u="1"/>
        <s v="POSTO URANO" u="1"/>
        <s v="AB NASCENTES" u="1"/>
        <s v="CIA DA CARNE ASSADA" u="1"/>
        <s v="POSTO TRANSBRIL" u="1"/>
      </sharedItems>
    </cacheField>
    <cacheField name="CLIENTE" numFmtId="0">
      <sharedItems containsNonDate="0" containsBlank="1" count="25">
        <m/>
        <s v="TEKSID" u="1"/>
        <s v="NEMAK" u="1"/>
        <s v="GSM MINERAÇÃO" u="1"/>
        <s v="SOUZA CRUZ - RS" u="1"/>
        <s v="SWB" u="1"/>
        <s v="C.C ENGENHARIA" u="1"/>
        <s v="MONTAGEM" u="1"/>
        <s v="SAFM" u="1"/>
        <s v="COMISA" u="1"/>
        <s v="RIMA" u="1"/>
        <s v="MML MINERAÇÃO" u="1"/>
        <s v="GSM MINERACAO" u="1"/>
        <s v="ITAMBE" u="1"/>
        <s v="CNH INDUSTRIAL" u="1"/>
        <s v="N/A" u="1"/>
        <s v="PREMOCON" u="1"/>
        <s v="SOUZA CRUZ" u="1"/>
        <s v="BEMISA" u="1"/>
        <s v="PREMOCOM" u="1"/>
        <s v="ESCO - SOLDERING" u="1"/>
        <s v="SETE LAGOAS VIBRA" u="1"/>
        <s v="GRUPO MBL" u="1"/>
        <s v="ALLONDA" u="1"/>
        <s v="SAUDALI" u="1"/>
      </sharedItems>
    </cacheField>
    <cacheField name="CLASSIFICAÇÃO" numFmtId="0">
      <sharedItems containsNonDate="0" containsBlank="1" count="8">
        <m/>
        <s v="TRANSPORTE" u="1"/>
        <s v="PEDÁGIO" u="1"/>
        <s v="OUTROS" u="1"/>
        <s v="COMISSÃO" u="1"/>
        <s v="COMBUSTÍVEL" u="1"/>
        <s v="ALIMENTAÇÃO" u="1"/>
        <s v="EPI" u="1"/>
      </sharedItems>
    </cacheField>
    <cacheField name="VALOR R$" numFmtId="164">
      <sharedItems containsNonDate="0" containsString="0" containsBlank="1"/>
    </cacheField>
    <cacheField name="OBSERVAÇÕES" numFmtId="0">
      <sharedItems containsBlank="1" count="37">
        <s v="-"/>
        <s v="ANUIDADE 2022" u="1"/>
        <s v="NEILOR + GUILHERME" u="1"/>
        <m u="1"/>
        <s v="REF. FECH OUT" u="1"/>
        <s v="REF. FECH NOV" u="1"/>
        <s v="SILAS" u="1"/>
        <s v="REF. FECH AGO" u="1"/>
        <s v="REF. FECH JAN" u="1"/>
        <s v="SILAS - EXIGÊNCIA DO CLIENTE" u="1"/>
        <s v="REF. FECH FEV" u="1"/>
        <s v="CAFÉ GESTOR BEMISA" u="1"/>
        <s v="4,50 + 6,30 / 4,50 + 6,30" u="1"/>
        <s v="REF. FECH JUN" u="1"/>
        <s v="4,50 + 6,30 + 6,30 + 4,50" u="1"/>
        <s v="4 X R$4,80" u="1"/>
        <s v="4,50 + 4,50" u="1"/>
        <s v="5,00 + 7,30 + 7,30 + 5,00" u="1"/>
        <s v="NEILOR + CARLOS" u="1"/>
        <s v="2 X R$4,80" u="1"/>
        <s v="NEILOR + CARLOS + GUILHERME" u="1"/>
        <s v="REF. FECH DEZ" u="1"/>
        <s v="REF. FECH JUL" u="1"/>
        <s v="5,50 + 6,30 / 4,50 + 6,30" u="1"/>
        <s v="AQUISIÇÃO 03/12" u="1"/>
        <s v="4 * 4,8" u="1"/>
        <s v="4 X 4,85" u="1"/>
        <s v="REF. JAN/22" u="1"/>
        <s v="4,50 + 6,30" u="1"/>
        <s v="BATERIA P/ PLC" u="1"/>
        <s v="R$ 12,00 SODEXO" u="1"/>
        <s v="REF. FECH SET" u="1"/>
        <s v="NF 10894 - SOL ALOISIO" u="1"/>
        <s v="6,30 + 4,50 + 9,85 + 4,50" u="1"/>
        <s v="4 * R$5,20" u="1"/>
        <s v="REF. FECH MAR" u="1"/>
        <s v="6,30 + 4,50 + 6,30 + 4,50" u="1"/>
      </sharedItems>
    </cacheField>
    <cacheField name="REEMBOLSAR?" numFmtId="0">
      <sharedItems containsNonDate="0" containsBlank="1" count="3">
        <m/>
        <s v="SIM" u="1"/>
        <s v="NÃO" u="1"/>
      </sharedItems>
    </cacheField>
    <cacheField name="STATUS REEMBOLSO" numFmtId="0">
      <sharedItems containsBlank="1" count="4">
        <s v="-"/>
        <m u="1"/>
        <s v="VISITA DE CLIENTE" u="1"/>
        <s v="RECEBIDO" u="1"/>
      </sharedItems>
    </cacheField>
    <cacheField name="MÊS" numFmtId="0">
      <sharedItems count="13">
        <s v="FORA DO CALENDARIO"/>
        <s v="JANEIRO" u="1"/>
        <s v="ABRIL" u="1"/>
        <s v="JULHO" u="1"/>
        <s v="DEZEMBRO" u="1"/>
        <s v="OUTUBRO" u="1"/>
        <s v="JUNHO" u="1"/>
        <s v="SETEMBRO" u="1"/>
        <s v="MAIO" u="1"/>
        <s v="NOVEMBRO" u="1"/>
        <s v="AGOSTO" u="1"/>
        <s v="MARÇO" u="1"/>
        <s v="FEVEREIRO" u="1"/>
      </sharedItems>
    </cacheField>
    <cacheField name="ANO" numFmtId="0">
      <sharedItems containsSemiMixedTypes="0" containsString="0" containsNumber="1" containsInteger="1" minValue="1900" maxValue="1900"/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824072" createdVersion="4" refreshedVersion="8" minRefreshableVersion="3" recordCount="6" xr:uid="{00000000-000A-0000-FFFF-FFFF01000000}">
  <cacheSource type="worksheet">
    <worksheetSource name="LAN_ORCAMENTO"/>
  </cacheSource>
  <cacheFields count="13">
    <cacheField name="OP/OS" numFmtId="0">
      <sharedItems containsNonDate="0" containsString="0" containsBlank="1" containsNumber="1" containsInteger="1" minValue="362019" maxValue="362019" count="2">
        <m/>
        <n v="362019" u="1"/>
      </sharedItems>
    </cacheField>
    <cacheField name="CLIENTE INTERNO" numFmtId="0">
      <sharedItems containsNonDate="0" containsBlank="1" count="3">
        <m/>
        <s v="A&amp;C - ENG" u="1"/>
        <s v="MLM" u="1"/>
      </sharedItems>
    </cacheField>
    <cacheField name="CLIENTE EXTERNO" numFmtId="0">
      <sharedItems containsNonDate="0" containsBlank="1" count="163">
        <m/>
        <s v="SERMAM" u="1"/>
        <s v="CNH" u="1"/>
        <s v="SAAE" u="1"/>
        <s v="DIMEZA" u="1"/>
        <s v="TEKSID" u="1"/>
        <s v="PARACATU" u="1"/>
        <s v="RODOAGRO" u="1"/>
        <s v="USIMINAS" u="1"/>
        <s v="LATICINIO VENCEDOR" u="1"/>
        <s v="FAZENDA SANTA TEREZINHA" u="1"/>
        <s v="IGEO" u="1"/>
        <s v="SHOPPING CIDADE" u="1"/>
        <s v="FAZENDA ST TERESINHA" u="1"/>
        <s v="MAGNESITA" u="1"/>
        <s v="TEKSID DO BRASIL" u="1"/>
        <s v="COAGRIL " u="1"/>
        <s v="SMF CABOS" u="1"/>
        <s v="CARA PRETA" u="1"/>
        <s v="TEKSID GUSA" u="1"/>
        <s v="MBL" u="1"/>
        <s v="DIMESA" u="1"/>
        <s v="MINERAÇÃO SERRA DOURADA" u="1"/>
        <s v="PRSE" u="1"/>
        <s v="NEMAK" u="1"/>
        <s v="FRIGORIFICO PIRANGA" u="1"/>
        <s v="TOSHIBA" u="1"/>
        <s v="BRITAGEM" u="1"/>
        <s v="TEKSID / TUPY" u="1"/>
        <s v="GRUPO RONCADOR" u="1"/>
        <s v="EPEX" u="1"/>
        <s v="POWER LIGTH" u="1"/>
        <s v="CCR AMBIENTAL" u="1"/>
        <s v="CIA FOTOVOLTAICA" u="1"/>
        <s v="GSM MINERAÇÃO" u="1"/>
        <s v="DESTILARIA VEREDAS" u="1"/>
        <s v="TIAGO COIMBRA" u="1"/>
        <s v="SOUZA CRUZ - RS" u="1"/>
        <s v="FAZENDA SANTA MÔNICA" u="1"/>
        <s v="DESCO" u="1"/>
        <s v="DA MATA" u="1"/>
        <s v="ITAMINAS" u="1"/>
        <s v="PORTO ALEGRE" u="1"/>
        <s v="ERIEZ" u="1"/>
        <s v="NELIO LEOPOLDO SOARES" u="1"/>
        <s v="COPASA" u="1"/>
        <s v="TEKSID / FITTER" u="1"/>
        <s v="SWB" u="1"/>
        <s v="RECICLADORA" u="1"/>
        <s v="ERIEZ MINERALS GROUP" u="1"/>
        <s v="TUPY" u="1"/>
        <s v="CBMM" u="1"/>
        <s v="TAUA CAETÉ" u="1"/>
        <s v="STELLANTIS - FIAT " u="1"/>
        <s v="CAL PARÁ" u="1"/>
        <s v="ASTRA SOLAR" u="1"/>
        <s v="BRK AMBIENTAL" u="1"/>
        <s v="CONSFAT ENGENHARIA" u="1"/>
        <s v="SOUZA CRUZNDA CP303-1" u="1"/>
        <s v="SAFM" u="1"/>
        <s v="DENSO - PE" u="1"/>
        <s v="SAFM " u="1"/>
        <s v="MAGNETT" u="1"/>
        <s v="RIMA INDUSTRIAL" u="1"/>
        <s v="PROK" u="1"/>
        <s v="COMISA" u="1"/>
        <s v="SMP5" u="1"/>
        <s v="HP PAPEIS" u="1"/>
        <s v="SERRA DOURADA" u="1"/>
        <s v="RONALDO INJETORA" u="1"/>
        <s v="PADARIA GRAN VITÓRIA" u="1"/>
        <s v="VELOSO COFFEE" u="1"/>
        <s v="AEG" u="1"/>
        <s v="GSM" u="1"/>
        <s v="AGRO VEREDAS" u="1"/>
        <s v="MIB" u="1"/>
        <s v="CDTN" u="1"/>
        <s v="SUMIRIKO" u="1"/>
        <s v="FCM SERV. ELET" u="1"/>
        <s v="AUSTEN" u="1"/>
        <s v="PONTE NOVA PAPÉIS" u="1"/>
        <s v="COM TRANSFORMADORES" u="1"/>
        <s v="SEW" u="1"/>
        <s v="FEMSA" u="1"/>
        <s v="ADORAR" u="1"/>
        <s v="DTR VMS" u="1"/>
        <s v="TUPY (TEKSID)" u="1"/>
        <s v="CEDRO MINERACÃO" u="1"/>
        <s v="FAZENDA DO RODOLFO" u="1"/>
        <s v="DENSO" u="1"/>
        <s v="BAYTEK" u="1"/>
        <s v="GLOBAL" u="1"/>
        <s v="ESCO SOLDERING" u="1"/>
        <s v="ESCO" u="1"/>
        <s v="BELFAR" u="1"/>
        <s v="FITTER" u="1"/>
        <s v="MSD - MT" u="1"/>
        <s v="INTERCAST" u="1"/>
        <s v="MML MINERAÇÃO" u="1"/>
        <s v="AMBAR AUTOMAÇÃO" u="1"/>
        <s v="PPCS ENGENHARIA" u="1"/>
        <s v="DA MATA CONSTRUTORA" u="1"/>
        <s v="CIMENTOS LIZ" u="1"/>
        <s v="JAGUAR MINING" u="1"/>
        <s v="VALE" u="1"/>
        <s v="WG SINTERIZAÇÃO" u="1"/>
        <s v="ACUMENT" u="1"/>
        <s v="KUTTNER" u="1"/>
        <s v="CNH INDUSTRIAL" u="1"/>
        <s v="ELETRICA CEMIL" u="1"/>
        <s v="ELETRIMAR / CELLERA" u="1"/>
        <s v="ENGIMAPI" u="1"/>
        <s v="RAÇÕES PORTO ALEGRE" u="1"/>
        <s v="BRASIDER" u="1"/>
        <s v="PREMOCON" u="1"/>
        <s v="PORTO ALEGRE ES" u="1"/>
        <s v="NEPEAN" u="1"/>
        <s v="GRUPO CEI" u="1"/>
        <s v="JOSIEL / MAGNETT" u="1"/>
        <s v="VALE PA" u="1"/>
        <s v="AVG SIDERURGIA" u="1"/>
        <s v="SOUZA CRUZ" u="1"/>
        <s v="MINERAÇÃO MSM" u="1"/>
        <s v="POWER (WILTON)" u="1"/>
        <s v="MAGNA" u="1"/>
        <s v="SOUZA CRUZ " u="1"/>
        <s v="CONSULTORIA SISTEMAS ELETRICOS" u="1"/>
        <s v="ALEXANDRO SENA" u="1"/>
        <s v="HT HIDRAUTRÔNICA" u="1"/>
        <s v="MSD" u="1"/>
        <s v="FIAMMA" u="1"/>
        <s v="FCA FIAT" u="1"/>
        <s v="NOGUEIRA DUARTE" u="1"/>
        <s v="BEMISA" u="1"/>
        <s v="VEREDAS" u="1"/>
        <s v="SÃO MARCO INDUSTRIA " u="1"/>
        <s v="ACTEMIUM" u="1"/>
        <s v="MINERAÇÃO SERRA DA MOEDA" u="1"/>
        <s v="DIMEZA ALIMENTOS" u="1"/>
        <s v="IMA" u="1"/>
        <s v="SUGGAR" u="1"/>
        <s v="ADRIANO FARIA" u="1"/>
        <s v="S.E.R SOLUÇÕES" u="1"/>
        <s v="ENGEFRIL" u="1"/>
        <s v="ESCO - SOLDERING" u="1"/>
        <s v="TENCO" u="1"/>
        <s v="NEOSTEEL" u="1"/>
        <s v="SETE LAGOAS VIBRA" u="1"/>
        <s v="KINROSS" u="1"/>
        <s v="GRUPO MBL" u="1"/>
        <s v="ENGESCIENCE" u="1"/>
        <s v="FLUXO AUTOMAÇÃO" u="1"/>
        <s v="NSDPROJECT" u="1"/>
        <s v="NELIO LEOPOLDO" u="1"/>
        <s v="ALPHA INSDUSTRIA" u="1"/>
        <s v="LEAR CORPORATION" u="1"/>
        <s v="AUMAX" u="1"/>
        <s v="LACTALIS (COTOCHÉS)" u="1"/>
        <s v="TEKFOR" u="1"/>
        <s v="ALLONDA" u="1"/>
        <s v="QUALIENG" u="1"/>
        <s v="S RIKO" u="1"/>
        <s v="SAUDALI" u="1"/>
      </sharedItems>
    </cacheField>
    <cacheField name="DESCRIÇÃO REDUZIDA" numFmtId="0">
      <sharedItems containsNonDate="0" containsBlank="1" count="582">
        <m/>
        <s v="PARAMETRIZAÇÃO DE RELE" u="1"/>
        <s v="PAINÉIS VALVULA GUILHOTINA" u="1"/>
        <s v="AUTOMAÇÃO CELULA PALETIZAÇÃO" u="1"/>
        <s v="FORNECIMENTO DE MATERIAIS SIMENS" u="1"/>
        <s v="PAINEL ACIONAMENTO PRENSA DE AQUECIMENTO" u="1"/>
        <s v="PAINEL DE ILUMINAÇÃO E TOMADAS" u="1"/>
        <s v="CAIXAS REMOTAS" u="1"/>
        <s v="PAINEL COMPLEMENTAR BS 17 E 18" u="1"/>
        <s v="MODIFICAÇÕES NA LINHA COMAS CFD - SILO 1" u="1"/>
        <s v="TPH17846 - AUTOMAÇÃO FIBEX – DEER UBERLÂNDIA" u="1"/>
        <s v="ALTERAÇÃO DE BARRAMENTOS E INSTALAÇÃO DE TC'S EAB3" u="1"/>
        <s v="CARREGAMENTO AUTOMATICO GSE - GROB" u="1"/>
        <s v="SISTEMA DE AUTOMAÇÃO EM FÁBRICA DE OVOS LÍQUIDOS" u="1"/>
        <s v="RETROFIT SOPRADORA" u="1"/>
        <s v="RETROFIT ECOPLUS 60" u="1"/>
        <s v="ASSISTÊNCIA EM LAVADORA CABEÇOTE GSE" u="1"/>
        <s v="ET AL 139/20 - INSTALAÇÕES ELÉTRICA - GALPÕES DE EXPEDIÇÃO E CALDERARIA" u="1"/>
        <s v="AUTOMAÇÃO ETE" u="1"/>
        <s v="NBES 7670 - AUTOMAÇÃO LINHA USINAGEM - CABEÇOTE KAPPA HYUNDAI" u="1"/>
        <s v="PAINEL PARA ACIONAMENTO E PROTEÇÃO MOTOR 50CV - BOMBA VINHAÇA 380V" u="1"/>
        <s v="MODIFICAÇÃO DA MAQUINA DE CORTE DE PAPELÃO" u="1"/>
        <s v="NBES 7532 ADEQUAÇÃO À NR-12 E SUBSTITUIÇÃO DO PLC CARROSSEL 07" u="1"/>
        <s v="DESENVOLVIMENTO DE SOFTWARE DE CONTROLE EM PADRÃO TEKSID ALUMINIO DE PASSOS DE PLC E IHM E STARTUP DE SOPRADORAS H40-4 E H40-5" u="1"/>
        <s v="ASSISTENCIA TÉCNICA" u="1"/>
        <s v="ASSISTÊNCIA TÉCNICA" u="1"/>
        <s v="TPH17928 FORNECIMENTO DE LICENÇA MF WINCC PROFESSIONAL RT 8K V15" u="1"/>
        <s v="SUPERVISÓRIO PARA GERENCIAMENTO MÁQUINAS" u="1"/>
        <s v="PAINEL DE SEGURANÇA PRENSAS PEA/PJA" u="1"/>
        <s v="RÁDIO UBIQUITI BULLET II HP" u="1"/>
        <s v="ET AL 119/21 - ALIMENTAÇÃO ELÉTRICA IILHA DE TESTES" u="1"/>
        <s v="NBES-7673 - ADAPTAÇÃO DCM PRENSA 1 - BLOCO KAPPA" u="1"/>
        <s v="PAINEIS PARA SISTEMA WITLANDS" u="1"/>
        <s v="HORAS ADICIONAIS A OBRA DE ADEQUAÇÃO ELÉTRICA DA PLANTA DE COCALINHO" u="1"/>
        <s v="PAINEL DE ACIONAMENTO POR INVERSOR DE FREQUÊNCIA PARA MISTURADOR DE TINTA 220VCA" u="1"/>
        <s v="ASSISTÊNCIA TÉCNICA DE AUTOMAÇÃO NA MASIPACK" u="1"/>
        <s v="HOMEM HORA" u="1"/>
        <s v="CAIXA DE COMANDO DO DISPOSITIVO DE INTEGRIDADE - CARROSSEL 10" u="1"/>
        <s v="STARTUP E COMISSIONAMENTO DE RECUPERADOR DE AREIA SIMPLEX 3000 SOGEMI" u="1"/>
        <s v="10396993QE - QUADRO DE COMANDO 523-QC-01" u="1"/>
        <s v="HORAS ADICIONAIS A OBRA DE RETROFIT COM FORNECIMENTO DE PROJETOS" u="1"/>
        <s v="JUNÇÃO OS026/2019 E OS048/2019" u="1"/>
        <s v="AQUISIÇÃO DAS LICENÇAS" u="1"/>
        <s v="CONFIGURAÇÃO DO INVERSOR DANFOSS EM PROFIBUS PLC STEP7 300" u="1"/>
        <s v="ASSISTENCIA TÉCNICA - INST DE MULTIMEDIDOR" u="1"/>
        <s v="IMPLEMENTAÇÃO DE COMUNICAÇÃO COM SISTEMA CRONOS E RETROFIT - PRIMEIRA MÁQUINA" u="1"/>
        <s v="PAINEL PARA ACIONAMENTO, PROTEÇÃO E TRANSFERÊNCIA - MOTOR 600CV - 380V - 5º TERREO" u="1"/>
        <s v="ASSITÊNCIA PLC SCHNEIDER SALA DE GERADORES" u="1"/>
        <s v="FORNECIMENTO DE CAIXAS, MONTAGEM E PROJETOS" u="1"/>
        <s v="PROGRAMAÇAO PLC, SUPERVISÓRIO E IHM DE CAMARAS DE RESFRIAMENTO" u="1"/>
        <s v="AUTOMAÇÃO CTS ADEQUACY – PMD UBERLÂNDIA" u="1"/>
        <s v="CAIXA CM-12" u="1"/>
        <s v="ASSISTÊNCIA H/H SPO" u="1"/>
        <s v="OPERAÇÃO ASSISTIDA HH" u="1"/>
        <s v="PAINÉIS DE MÉDIA TENSÃO" u="1"/>
        <s v="RM 10429293  ET - 1909 - ATUALIZAÇÃO DO SOFTWARE DA CABINE DE TESTES - GR18&amp;22" u="1"/>
        <s v="TPH17964 - CONVERSÃO SUPERVISÓRIO FIX32 PARA SIMATIC WINCC V15" u="1"/>
        <s v="FORNECIMENTO DE PAINÉIS PARA ITM C" u="1"/>
        <s v="INCLUSÃO DE SEGURANÇA EM CAGE LINHA CABEÇOTE CSS" u="1"/>
        <s v="PROJETOS SAA - BOA SORTE" u="1"/>
        <s v="HOMEM HORA (MELHORIAS NO CICLO DA MÁQUINA SPR-30-2)" u="1"/>
        <s v="AMPLIAÇÃO DE ESTEIRAS TRANSPORTADORAS - SISTEMA DE CORTE" u="1"/>
        <s v="RC 6970 PAC 22D - PROJETO DETALHADO PAC 22" u="1"/>
        <s v="PAINEL DE PROTEÇÃO PARA 2 GERADORES 750 KVA - 380V" u="1"/>
        <s v="RETROFIT E AQUEQUAÇÃO NR12 MÁQUINA DE TUBOS" u="1"/>
        <s v="NBES 7670 - INTEGRAÇÃO LINHA USINAGEM - CABEÇOTE KAPPA HYUNDAI" u="1"/>
        <s v="PEI656 – QUADROS AUXILIARES ITM-01" u="1"/>
        <s v="ASSITÊNCIA TÉCNICA EM PAINEL" u="1"/>
        <s v="TKF ETS_008_2020 - SERVIÇO REVISÃO ELÉTRICA HATEBUR 70" u="1"/>
        <s v="IMPRESSÃO DE ETIQUETAS NÃO CONFORME PARA BANCADA DE TESTE" u="1"/>
        <s v="FORA DE ESCOPO OS0502020" u="1"/>
        <s v="CONVERSÃO DE TELA DE SUPERVISÓRIO PARA IHM" u="1"/>
        <s v="ASSISTÊNCIA NA MÁQUINA H70 - HOMEM HORA " u="1"/>
        <s v="ET AL 047/21 - FORNECIMENTO DE MÃO DE OBRA ESPECIALIZADA" u="1"/>
        <s v="ET AL 154/19 - ROBOTICA - GARRA OSCILANTE PARA O ROBÔ CARGA E DESCARGA AUTOMAÇÃO GSE" u="1"/>
        <s v="FORNECIMENTO DE IHM " u="1"/>
        <s v=" NB ES 7394 - CÉLULA ROBOTIZADA - INJETORA 2000-14" u="1"/>
        <s v="MODIFICAÇÃO DA MESA RASTREABILIDADE 2700-6" u="1"/>
        <s v="FORNECIMENTO DE MATERIAIS ELÉTRICOS ORÇ. 29117" u="1"/>
        <s v="SUPORTE TÉCNICO EM INJETORAS" u="1"/>
        <s v="PAINEIS PARA ACIONAMENTO DAS BOMBAS DE AGUA E SISTEMA DE FRIOS" u="1"/>
        <s v="PAINEL PONTE ROLANTE 3,2T - ET AL 092/20" u="1"/>
        <s v="PAINEL DE AUTOMAÇÃO DO SISTEMA DE CONTROLE DE HORÍMETROS 380/220 VCA - 24VCC" u="1"/>
        <s v="SERVIÇO DE ENGENHARIA NA MODALIDADE H/H" u="1"/>
        <s v="CONTROLE DE TEMPERATURA DAS COQUILHAS DO CARROSSEL 5" u="1"/>
        <s v="RC 6970 PAC 22 - MONTAGEM ELÉTRICA - PROJETO ÁGUA AZUL" u="1"/>
        <s v="SERVIÇOS DE AUTOMAÇÃO INDUSTRIAL - EMPTORIS: 54651" u="1"/>
        <s v="ADEQUAÇÃO AUTOMAÇÃO BR1" u="1"/>
        <s v="HORA ARRENDADA ELETRICISTA " u="1"/>
        <s v="MELHORIAS EM SISTEMA DE ENVASE" u="1"/>
        <s v="TPH19533 - CONVERSÃO DE SOFTWARE DE IHM DA LINHA FIBEX" u="1"/>
        <s v="PROJETO DE  SPDA - PROJETO AGUA AZUL" u="1"/>
        <s v="RETROFIT PARA ADEQUAÇÃO DE COMANDO PROJETO E INTERLIGAÇÃO" u="1"/>
        <s v="ET AL 153/19 - INFRAESTRUTURA DE REDE TI" u="1"/>
        <s v="RELATÓRIO DE PRODUÇÃO - FILTRO DE LAMAS" u="1"/>
        <s v="ADEQUAÇÃO DE PROJETO E STARTUP DE FORNO" u="1"/>
        <s v="CONTROLES DE PRESENÇA DE ÁGUA CARROSSEL 4" u="1"/>
        <s v="FORA DE ESCOPO - INJETORA 14" u="1"/>
        <s v="NBES 7584 - PENDÊNCIAS INJETORAS 10 E 17" u="1"/>
        <s v="VENDA CP303-1" u="1"/>
        <s v="PAINEL ACIONAMENTO E PROTEÇÃO SISTEMA DE MOAGEM" u="1"/>
        <s v="ASSISTÊNCIA TÉCNICA PLC - MONITORAMENTO DE VELOCIDADE BAIXA ESTEIRAS" u="1"/>
        <s v="QUADROS DE DISTRIBUIÇÃO 225A" u="1"/>
        <s v="RM 10429483  ET - 1917 - CABINES DE TESTE" u="1"/>
        <s v="TANQUE NO SISTEMA DE COZIMENTO DE PRESUNTO." u="1"/>
        <s v="PROGRAMADOR PLENO NA MODALIDADE HH" u="1"/>
        <s v="INSTALAÇÃO ELÉTRICA DE PAINEL EXAUTOR 1000CV" u="1"/>
        <s v="SERVIÇOS DE ASSISTÊNCIA 063/2020 E 059/2020" u="1"/>
        <s v="PROGRAMADOR SÊNIOR NA MODALIDADE HH - USINAGEM" u="1"/>
        <s v="NBES MT 002 SISTEMA CONTROLE LINERS PÓS INJEÇÃO INJETORAS" u="1"/>
        <s v="ADEQUAÇÃO NR12 SISTEMA LOGÍSTICO DE FILTROS" u="1"/>
        <s v="INSERÇÃO DA BOMBA BP22 NO SUPERVISORIO" u="1"/>
        <s v="CRIAÇÃO DE LÓGICA DE PERCENTUAL DE SOLIDO/ VAZÃO MÁSSICA DE ESPESSADOR" u="1"/>
        <s v="ADEQUAÇÃO DE PAINÉIS - PLANTA DE BRITAGEM BARÃO DE COCAIS" u="1"/>
        <s v="ASSISTÊNCIA TÉCNICA REDE 13,8  - REPRESA NOVA" u="1"/>
        <s v="STARTUP CALCINADOR - MODALIDADE H/H" u="1"/>
        <s v="ASSISTENCIA TÉCNICA ENG PLENO NA MODALIDADE H/H" u="1"/>
        <s v="ET AL 82/20 - FONECIMENTO DE SISTEMA DE EXAUSTÃO PARA MÁQUINAS H40" u="1"/>
        <s v="SERVIÇO DE ATERRAMENTO EM TANQUE " u="1"/>
        <s v="NBES MT 021 - ADEQUAÇÃO NR12 CARROSSEL 11" u="1"/>
        <s v="SISTEMA DE BOMBEAMENTO DE ÁGUA" u="1"/>
        <s v="NBES-7601 - AUTOMAÇÃO DISPOSITIVO DE INTEGRIDADE DE MACHOS" u="1"/>
        <s v="SISTEMA DE AUTOMAÇÃO DA BAIA 3 " u="1"/>
        <s v="NBES 7676 - KAPPA HYUNDAI CH - INTEGRAÇÃO ILHA 02" u="1"/>
        <s v="COMBATE A INCÊNDIO" u="1"/>
        <s v="ENGENHEIRO SÊNIOR NA MODALIDADE H/H" u="1"/>
        <s v="SERVIÇO DE ACOMPANHAMENTO PRODUTIVO DA CÉLULA CARROSSEL CSS" u="1"/>
        <s v="AMPLIAÇÃO DO SISTEMA FILTER SCAN" u="1"/>
        <s v="ATUALIZAÇÃO DO IFIX PARA 6 COMPUTADORES" u="1"/>
        <s v="PAINEIS DE MÉDIA TENSÃO POWER LIGTH" u="1"/>
        <s v="ADEQUAÇÃO E STARTUP DE SOFTWARE PARA INSTALAÇÃO DE TRAVESSA EM UMA INJETORA_x000a__x000a__x000a_" u="1"/>
        <s v="INSTALAÇÕES ELÉTRICAS NOVAS LINHAS ITB" u="1"/>
        <s v="AUTOMAÇÃO PLC LINHA BLOCO VW 3CC" u="1"/>
        <s v="SERVIÇO DE ENGENHARIA - PRENSA 2" u="1"/>
        <s v="ALTERAÇÃO NO PLC E SUPERVISORIO DA CONCENTRAÇÃO 2" u="1"/>
        <s v="CONVERSORES DE SINAIS EM_x000a_ATENDIMENTO AO PROJETO DE DISPOSIÇÃO DE_x000a_REJEITOS MINA VARGEM GRANDE" u="1"/>
        <s v="PEI597 - Fornecimento de CCM planta ITM-07 Espirais - Investimento" u="1"/>
        <s v="TREINAMENTO LINHA GARBUIO" u="1"/>
        <s v="TROCA DE TODA A REDE CONTROLNET E DEVICENET POR ETHERNET EM ANEL REDUNDANTE" u="1"/>
        <s v="PRESTAÇÃO DE SERVIÇOS – HOMEM HORA" u="1"/>
        <s v="CER 21-21.1 ADEQUAÇÃO DE EQUIPAMENTO A NR12" u="1"/>
        <s v="ASSISTÊNCIA TÉCNICA NA MODALIDADE H/H" u="1"/>
        <s v="ADAPTAÇÃO DA PRENSA 3 PARA PRODUÇÃO DE BLOCO CSS – GM" u="1"/>
        <s v="INSTALAÇÃO DE PAINÉIS BRITAGEM E REBRITAGEM - SANTANA DO ARAGUAIA-PA" u="1"/>
        <s v="PAINEL CONTRALADOR DE TEMPERATURA 220VCA" u="1"/>
        <s v="ET AL 01/20 - INTEGRAÇÃO E AUTOMAÇÃO PARA 02 CÉLULAS DE REBARBAGEM DO BLOCO MOTOR ASPIRADO GSE N3/N4 E BLOCO TURBO T3 E T4" u="1"/>
        <s v="NBES 7669 - INTEGRAÇÃO LINHA USINAGEM - BLOCO KAPPA HYUNDAI" u="1"/>
        <s v="ASSISTÊNCIA TÉCNICA - BANCADA DE MONTAGEM" u="1"/>
        <s v="CONTRATAÇÃO DE MÃO DE OBRA MENSAL" u="1"/>
        <s v="COMISSIONAMENTO E STARTUP DE UMA LINHA FIBEX NA PLANTA DE UBERLÂNDIA" u="1"/>
        <s v="ASSISTENCIA TÉCNICA - SUBSTITUIÇÃO DE TC MEDIA TENSÃO" u="1"/>
        <s v="ET AL 55/21 - CONVERSÃO PROGRAMA IHM / H40-3" u="1"/>
        <s v="ET AL 41/21 - SUBST. DOS PAINÉIS DO CARROSSEL 4" u="1"/>
        <s v="SERVIÇO DE INSTALAÇÃO ELÉTRICA PAINEL HPDC" u="1"/>
        <s v="VISITA TÉCNICA" u="1"/>
        <s v="COMUNICAÇÃO ENTRE COMPUTADOR E SLC500 DA GRANALHADORA" u="1"/>
        <s v="ASSISTÊNCIA CARROSSEL 13" u="1"/>
        <s v="ET AL 57/20 - INSTALAÇÃO ELÉTRICA - FILTRO DE MANGAS" u="1"/>
        <s v="ET AL 21/20 / PROGRAMAÇÃO PLC SPR30-2" u="1"/>
        <s v="REPOSIÇÃO DE EQUIPAMENTOS DA LINHA DE MONTAGEM MODULO ECM" u="1"/>
        <s v="ADEQUAÇÃO PARA INCLUSÃO DE DUAS MAQUINAS DE SOLDA" u="1"/>
        <s v="PROGRAMAÇÃO SISTEMA DE BOMBEAMENTO" u="1"/>
        <s v="VENDA CABO - TERMINAIS" u="1"/>
        <s v="FORA DE ESCOPO - INJETORA 17" u="1"/>
        <s v="ACOMPANHAMENTO TÉCNICO E STARTUP" u="1"/>
        <s v="FORNECIMENTO SISTEMA DE CONTROLE DE SUPERVISÃO COM LICENÇA WINCC/WEBUX OPERATE 3" u="1"/>
        <s v="SERVIÇOS ADICIONAIS PAC 19 - PROJETO ÁGUA AZUL" u="1"/>
        <s v="PLC E ROBÔTICA BUFFER SECUNDÁRIO – CARROSSEL 13" u="1"/>
        <s v="FORNECIMENTO DE IHM WEG ORÇ. 27034" u="1"/>
        <s v="AMPLIAÇÃO DE REDE DE MÉDIA TENSÃO " u="1"/>
        <s v="PAINEL ACIONAMENTO E PROTEÇÃO MOTOR - BOMBA 125CV - 380 V - 60HZ" u="1"/>
        <s v="PROJETO E RETOFIT DE COMANDO DOS MOINHOS - SANTANA DO ARAGUAIA-PA" u="1"/>
        <s v="PAINEL SIRENE PARA BARRAGEM" u="1"/>
        <s v="ADEQUAÇÃO DE SOFTWARE NORIS EM 2 PLC'S" u="1"/>
        <s v="QUADRO DE ILUMINAÇÃO" u="1"/>
        <s v="FORN DE CABO ORÇ. 33547" u="1"/>
        <s v="PAINEL PARA SISTEMA DE BOMBEAMENTO 300CV - 440V" u="1"/>
        <s v="NBES7615 - ADEQUAÇÃO A NR12 SOPRADORA SPC65-01 E SPC65-06" u="1"/>
        <s v="ET AL 157/20 - INSTALAÇÃO EQUIPAMENTO CHILLER" u="1"/>
        <s v="PAINÉIS PARA OBRAS DO SISTEMA DE ESGOTAMENTO SANITARIO DE PATOS DE MINAS - EEE07" u="1"/>
        <s v="FORNECIMENTO DE SENSOR ORÇ. 26621" u="1"/>
        <s v="FORNECIMENTO DE INVERSOR ORÇ. 25576" u="1"/>
        <s v="MODULO INTERFACE PROFINET I0-5 P/ CFW11" u="1"/>
        <s v="VISITA TECNICA PARA AVALIAÇÃO E CONDICIONAMENTO DA PLANTA DE NÍQUEL" u="1"/>
        <s v="AUTOMAÇÃO MESA  DE SAÍDA DO FORNO  DE  ESFEROIDIZAÇÃO" u="1"/>
        <s v="SERVIÇO DE PROGRAMAÇÃO NAS INJETORAS 13 E 14 PARA INSTALAÇÃO DE SISTEMA DE TRAVESSA." u="1"/>
        <s v="ET AL 169/20 - SISTEMA DE EXAUSTÃO PARA EQUIPAMENTOS - CARROSSEL 5" u="1"/>
        <s v="SERVIÇOS E MATERIAIS PARA SPDA - PLANTA FERRO PURO" u="1"/>
        <s v="ASSISTÊNCIA H/H DUNK TEST - CABEÇOTE N3 E N4" u="1"/>
        <s v="NBES7615 - ADEQUAÇÃO NR12 INJETORA DCM 1800-12" u="1"/>
        <s v="Instalação de sistema Flow Test em Equip. Existente- Bloco CSS" u="1"/>
        <s v="MODIFICAÇÃO DA SERRA ORLANDI PARA F1X" u="1"/>
        <s v="HOMEM HORA PARA PROGRAMAÇÃO - FORNO 13" u="1"/>
        <s v="FORNECIMENTO DE SWITCH ORÇ. 26644" u="1"/>
        <s v="FORNECIMENTO 2 MÓDULOS CUBICULO PARA ACIONAMENTO DE MOTORES 750KW/6,600V" u="1"/>
        <s v="EMISSÃO DE ANILHAS IDENTIFICADORAS DE CABO" u="1"/>
        <s v="FORNECIMENTO DE SENSOR ORÇ. 29748" u="1"/>
        <s v="FORNECIMENTO DE VALVULAS" u="1"/>
        <s v="SERVIÇO PARA ADEQUAÇÃO ELÉTRICA - PLANTA DE COCALINHO-MT" u="1"/>
        <s v="LB10422770 - TÉCNICO EM AUTOMAÇÃO PARA APOIO DO SETOR ENTRE 30/08 E 17/09" u="1"/>
        <s v="SERVIÇO DE INSTALAÇÃO SISTEMA DE SEGURANÇA HPDC" u="1"/>
        <s v="AUTOMAÇÃO DA PLANTA DE BARÃO DE COCAIS" u="1"/>
        <s v="INSTALAÇÃO DE SENSORES DE SEGURANÇA EM ESTEIRAS TRANSPORTADORAS" u="1"/>
        <s v="PAINEL GERAL LABORATÓRIO - QD-LAB-01" u="1"/>
        <s v="ASSISTÊNCIA REPETIDOR 6ES7972-0AA02-0XA0" u="1"/>
        <s v="ASSISTÊNCIA NA LINHA DE USINAGEM VW" u="1"/>
        <s v="CUBÍCULO DE MÉDIA TENSÃO 13,8KV" u="1"/>
        <s v="ET AL 148/19 CONTROLS - GARRA OSCILANTE PARA O ROBÔ CARGA E DESCARGA AUTOMAÇÃO GSE" u="1"/>
        <s v="MÁQUINA DE ADIÇÃO DE AREIA EM PANELA DE AÇO" u="1"/>
        <s v="CRIAÇÃO DE TELA DE SUPERVISÓRIO SISTEMA DE PREPARAÇÃO FLOCULANTE" u="1"/>
        <s v="PRESTAÇÃO DE SERVIÇOS DE ENGENHARIA" u="1"/>
        <s v="FORNECIMENTO DE SENSOR ORÇ 22596" u="1"/>
        <s v="PEM596 - Manutenção Blendagem - Engenharia Elétrica e Serviços de Montagem da Sala Elétrica" u="1"/>
        <s v="PRESTAÇÃO DE SERVIÇOS NA MODALIDADE HH" u="1"/>
        <s v="START UP PAINEL DA BP06" u="1"/>
        <s v="NBES 7523 - CÉLULA ROBOTIZADA INJETORA 1800-13_GM_F1X" u="1"/>
        <s v="NBES7616 - ADEQUAÇÃO NR12 INJETORA DCM 1800-13" u="1"/>
        <s v="ASSISTÊNCIA TÉCNICA DE AUTOMAÇÃO PARA CENTRIFUGA GEA - ÁREA UHT" u="1"/>
        <s v="FORNECIMENTO DE MÃO DE OBRA DE ENGENHARIA" u="1"/>
        <s v="PEI587 - Contratação de Serviços de Montagem Elétrica - ITM-07 Espirais" u="1"/>
        <s v="FORNECIMENTO DE PAINEIS" u="1"/>
        <s v="ELETRICISTA NA MODALIDADE H/H" u="1"/>
        <s v="IMPLEMENTAÇÃO COMUNICAÇÃO TCP/IP EM CONTROLADOR B&amp;R" u="1"/>
        <s v="PEI657 – SERVIÇOS DE ACOPLAMENTO DOS PAINÉIS QGBT440V, CCM Linha a, CCM Linha B" u="1"/>
        <s v="PAINEIS DE COMANDO E ILUMINAÇÃO" u="1"/>
        <s v="ET AL 074/21 - CABINES PARA DESTORROAMENTO DE AREIA DOS CABEÇOTES" u="1"/>
        <s v="ET AL 36/21 - PROJETO E INSTALAÇÃO DE MOTOBOMBAS NO TESTE DE ESTANQUEIDADE TOX" u="1"/>
        <s v="NBES 7569 - ADAPTAÇÃO DCM 2700-5 BLOCO GM CSS" u="1"/>
        <s v="TPH31168 - S90 ELETRICAL UPGRADE" u="1"/>
        <s v="PAINEL DE PROTEÇÃO E TRANSFERÊNCIA AUTOMATICA PARA TRAFOS 2500kVA 460V 60Hz" u="1"/>
        <s v="ASSISTÊNCIA TÉCNICA SISTEMA DE SORO E MASIPACK" u="1"/>
        <s v="ADEQUAÇÃO ELÉTRICA E ELABORAÇÃO DE PROJETO - SANTANA DO ARAGUAIA-PA" u="1"/>
        <s v="DESENVOLVIMENTO DE SISTEMA DE MEDIÇÃO CÂMARA DE COMBUSTÃO CSS" u="1"/>
        <s v="REMOTA GX500" u="1"/>
        <s v="NBES7616 - ADEQUAÇÃO A NR12 SOPRADORA 1824-1" u="1"/>
        <s v="PAINEL DE AUTOMAÇÃO PARA INTERFACE MESA DE OPERAÇÃO" u="1"/>
        <s v="MÃO DE OBRA DE 1 ELETRICISTA MENSAL" u="1"/>
        <s v="FORNECIMENTO DE MOTOR ORÇ 27535" u="1"/>
        <s v="FORNECIMENTO ALLEN BRADLEY ORÇ 28252" u="1"/>
        <s v="ASISTENCIA TÉCNICA INTERNA" u="1"/>
        <s v="INSTALAÇÃO DE INVERSOR DE FREQUÊNCIA" u="1"/>
        <s v="ET AL 127/20 - TRANSFERÊNCIA LEAK TEST COMAU" u="1"/>
        <s v="MONTAGEM DE CONECTORES EM UM ACHESON DA INJETORA 1500-3" u="1"/>
        <s v="SERVIÇO DE AUTOMAÇÃO PARA 3 CCM'S DA UNIDADE DE METALURGICA" u="1"/>
        <s v="FORNECIMENTO DE QDC'S E QGBT" u="1"/>
        <s v="CRIAÇÃO DE GRÁFICOS COM AS CORRENTES DE EQUIPAMENTOS NO SUPERVISÓRIO" u="1"/>
        <s v="RETROFIT DE PEINEL E DESENHO TÉCNICO" u="1"/>
        <s v="UPGRADE DO SISTEMA FILTER SCAN DE CONTROLE DE 30.000 PARA 999.999 ITENS" u="1"/>
        <s v="PAINEIS DE CONTROLE – QF-5A/1.1 E REM01-QF-5A/1.1" u="1"/>
        <s v="COMISSIONAMENTO E STARTUP DE INJETORA DE PLÁSTICO" u="1"/>
        <s v="PAINEL PLC - PROGRAMAÇÃO E COMISSIONAMENTO" u="1"/>
        <s v="NBES 7650 - MODIFICAÇÃO TERMORREGULAÇÃO ILHA TANDEM" u="1"/>
        <s v="BANCO DE CAPACITOR 55 KVAR - ACIONAMENTO EXTERNO" u="1"/>
        <s v="FORNECIMENTO DE LICENÇA " u="1"/>
        <s v="ET AL 107/20 - MODIFICAÇÕES DA LINHA DE ACABAMENTO DOS CABEÇOTES N3/N4" u="1"/>
        <s v="NBES 7669 - AUTOMAÇÃO LINHA USINAGEM - BLOCO KAPPA HYUNDAI" u="1"/>
        <s v="REDE PROFINET SISTEMA RIEDEL" u="1"/>
        <s v="MATERIAIS DIVERSOS PACOTE 22" u="1"/>
        <s v="REPOSIÇÃO DE PEÇAS EM CABINE DE TESTE" u="1"/>
        <s v="OPERAÇÃO ASSISTIDA CARROSSEL 13" u="1"/>
        <s v="PAINÉIS PARA SIDERURGIA - REFORMA AF2" u="1"/>
        <s v="AUTOMAÇÃO PAINEIS DE ACIONAMENTO DA PLANTA DE MINERAÇÃO" u="1"/>
        <s v="RETROFIT GREEN LINE" u="1"/>
        <s v="SISTEMA DE MONITORAMENTO DE MOVIMENTO ESTEIRA TRANSPORTADORA" u="1"/>
        <s v="SUPERVISÃO, PROGRAMAÇÃO E STARTUP PARA ADEQUAÇÃO NR12 DE 10 RENDER TÚNEL DE EMBALAGEM" u="1"/>
        <s v="PARAMETRIZAÇÃO DE 2 INVERSORES DE PRENSA" u="1"/>
        <s v="TPH23012 - AUTOMAÇÃO TÚNEIS DE CINTAGEM E CINTADEIRAS" u="1"/>
        <s v="IMPLEMENTAÇÃO DE COMUNICAÇÃO COM SISTEMA CRONOS E RETROFIT DEMAIS MÁQUINAS" u="1"/>
        <s v="PROGRAMAÇÃO DA PRENSA REBARBADORA LINHA 3" u="1"/>
        <s v="VENDA DE MATERIAL SWITCH" u="1"/>
        <s v="MÃO DE OBRA ELETRICISTA ESPECIALIZADO" u="1"/>
        <s v="ADICIONAL A OBRA DE RETROFIT PARA ADEQUAÇÃO DE COMANDO, PROJETO E INTERLIGAÇÃO DE MESA DE COMANDO" u="1"/>
        <s v="SERVIÇO DE MODIFICAÇÃO EM PAINEL" u="1"/>
        <s v="AUTOMAÇÃO PLC LINHA BLOCO GM CSS" u="1"/>
        <s v="AUTOMAÇÃO BA03 E BA04" u="1"/>
        <s v="ORÇAMENTO UNIDADE PORTO ALEGRE RS" u="1"/>
        <s v="PAINEL FILTRO MANGA E SKIP ROTATIVO" u="1"/>
        <s v="PAINEL PARA ACIONAMENTO E PROTEÇÃO VENTILADORES 220V -1CV MONOFÁSICO" u="1"/>
        <s v="ET AL 185/20 - AUTOMAÇÃO DOS SISTEMAS DE IMPREGNAÇÃO" u="1"/>
        <s v="FORNECIMENTO DE BOTOEIRAS 1 FURO E 5 FUROS ORÇAMENTOS" u="1"/>
        <s v="TPH17845 - AUTOMAÇÃO FIBEX – PMD UBERLÂNDIA" u="1"/>
        <s v="FORNECIMENTO DE SENSOR ORÇ. 24846" u="1"/>
        <s v="PAINEL PARA MOINHO" u="1"/>
        <s v="ASSISTÊNCIA H/H HATEBUR 50" u="1"/>
        <s v="NBEM_ RFQ21012 - KAPPA HYUNDAI - INST CARRO CIMAFOND 1" u="1"/>
        <s v="ADEQUAÇÕES NR12 7664 e 7665" u="1"/>
        <s v="SERVIÇOS DE ENGENHARIA OS112/2019 E OS021/2020" u="1"/>
        <s v="5307 - DESENVOLVIMENTO DE SOFTWARE DE PLC E SUPERVISÓRIO" u="1"/>
        <s v="TROCA DE BARRAMENTOS" u="1"/>
        <s v="INJETORA 14 - REFORMA" u="1"/>
        <s v="ET AL 44/21 - PROTEÇÕES PERIMETRAIS PARA CÉLULA DE DESTORROAMENTO CONFORME NR12 E RELOCAÇÃO DE SWING MASTER" u="1"/>
        <s v="ADEQUAÇÃO DE ESTRUTURA DE REDE PROFIBUS" u="1"/>
        <s v="SILAS" u="1"/>
        <s v="PAINEL DE AUTOMAÇÃO SKIP" u="1"/>
        <s v="PROJETO DE SPDA INSTALAÇÕES WG SINTERIZAÇÃO" u="1"/>
        <s v="SERVIÇOS DE PROGRAMAÇÃO OS016/2020 E OS017/2020" u="1"/>
        <s v="FORNECIMENTO 5 MÓDULOS CUBÍCULO" u="1"/>
        <s v="RDA 10456847 - ET-EM-070-21 ADAPTAÇÃO TENUTA PARA CONFERÊNCIA SEMI CONE LINHA F1" u="1"/>
        <s v="PROJETO DE SPDA PARA PLANTA PRENOVA" u="1"/>
        <s v="RFQ CORTINAS DE LUZ (BARREIRAS ÓTICAS) PARA AS LINHAS 2, 6, 7, 12 e 13" u="1"/>
        <s v="SERVIÇO DE INSTALAÇÃO ELÉTRICA DOS CIRCUITOS DE ILUMINAÇÃO E TOMADAS DOS GALPÕES DE ESTOQUE E MANUTENÇÃO" u="1"/>
        <s v="INVERSOR CFW 300" u="1"/>
        <s v="PAINÉIS PARA ACIONAMENTO E PROTEÇÃO DE MOTOR" u="1"/>
        <s v="ET AL 117/20 - ELABORAÇÃO DE SOFTWARE PARA PLC, SUPERVISÓRIO E ROBOT - CARROSSEL 5" u="1"/>
        <s v="FORNECIMENTO COMPLEMENTAR CONTRATO OS0502020 HC06, HC10 E TANQUE DE SUMP" u="1"/>
        <s v="PROGRAMAÇÃO DE IHM'S DELTA - WEINTEK DE BANCADAS DE TESTE" u="1"/>
        <s v="PROGRAMAÇÃO E STARTUP" u="1"/>
        <s v="MELHORIAS NA AUTOMAÇÃO - ITM" u="1"/>
        <s v="PRESTAÇÃO DE SERVIÇO HH " u="1"/>
        <s v="ADEQUAÇÃO CARROSSEL 7 NR-12" u="1"/>
        <s v="ADEQUAÇÕES NR12 2022" u="1"/>
        <s v="RETROFIT INJETORA 15" u="1"/>
        <s v="PAINEL QGBT COMPLEMENTAR - PROJETO DE LAMAS" u="1"/>
        <s v="AUTOMAÇÃO PARA INTERFACE DE SINAIS CHILLER" u="1"/>
        <s v="NBEM_RFQ-21007 - GAGE AUTOMÁTICO CABEÇOTE KAPPA" u="1"/>
        <s v="NBEM_RFQ-21009 - GAGE AUTOMÁTICO CABEÇOTE KAPPA" u="1"/>
        <s v="EXPORTAÇÃO DE GRÁFICOS DE TEMPERATURA DOS FORNOS DE 2 CARROSSÉIS" u="1"/>
        <s v="PROGRAMAÇÃO DE CLP" u="1"/>
        <s v="PO 00201_21 - FORNECIMENTO DE PAINEL E AUTOMAÇÃO EM SUBSTAÇÃO - HOSPITAL DAS CLÍNICAS" u="1"/>
        <s v="STARTUP DE NR12 DA EXPEDIÇÃO" u="1"/>
        <s v="CUBÍCULO 17,5 KV" u="1"/>
        <s v="NB ES 7420 ADAPTAÇÃO INJETORA ITALPRESSE 2500-3 BLOCO FORD DRAGON" u="1"/>
        <s v="REVENDA DE MATERIAIS" u="1"/>
        <s v="ASSISTÊNCIA H/H CARROSSEL 5 - CABINE DE LIMPEZA 2 - CARROSSEL 5" u="1"/>
        <s v="ADEQUAÇÃO DE MÁQUINA PARA 2 TOCHAS DE SOLDA" u="1"/>
        <s v="JUNÇÃO OS091/2019 E OS103/2019" u="1"/>
        <s v="ALTERAÇÕES NO SISTEMA DE GOTEJAMENTO DO FILTRO E NOS SETPOINTS DAS BOMBAS BP19A, BP19B E BP19C" u="1"/>
        <s v="ASSITÊNCIA TÉCNICA (FORNECIMENTO DE CABO EM ESTOQUE)" u="1"/>
        <s v="TKF ETS_004_2020 SERVIÇO DE  INSTALAÇÃO E MONTAGEM DE EQUIPAMENTOS" u="1"/>
        <s v="MELHORIA DO LAYOUT DAS TELAS DE SUPERVISÓRIO" u="1"/>
        <s v="NBES 7644 - SISTEMA DE VISÃO GAGE LINE" u="1"/>
        <s v="CRIAÇÃO DE UMA ENTRADA ANALÓGICA E INDICAÇÃO NO SUPERVISÓRIO" u="1"/>
        <s v="SERVIÇO PARA MODIFICAÇÕES NO CARROSSEL 13" u="1"/>
        <s v="TERMORREGULAÇÃO - CARROSSEL 13" u="1"/>
        <s v="FORNECIMENTO DE INVERSOR ORÇ. 24844" u="1"/>
        <s v="NBES 7637 A 7640 - ADEQUAÇÃO Á NR12 DE CABINES DE LIMPEZA" u="1"/>
        <s v="PEM683 - SERVIÇOS DE MONTAGEM ELÉTRICA - SALA ELÉTRICA ITM-08 - MANUTENÇÃO" u="1"/>
        <s v="PROJETO CONCENTRAÇÃO C1" u="1"/>
        <s v="INSTRUMENTAÇÃO CAVASA" u="1"/>
        <s v="ASSISTÊNCIA TÉCNICA PAINEL FORNECIDO PELA MLM" u="1"/>
        <s v="ADEQUAÇÃO E STARTUP DE SOFTWARE PARA INSTALAÇÃO DE TRAVESSA NA INJETORA 1800-12" u="1"/>
        <s v="ADEQUAÇÃO DE PAINÉIS PISCICULTURA 2" u="1"/>
        <s v="FORNECIMENTO 2 QGBT - MAUÁ SP" u="1"/>
        <s v="ET AL 130/20 - SERVIÇO DE ATUALIZAÇÃO DO PROJETO ELÉTRICO E PROGRAMAÇÃO CNC/PLC - THYSSEN HULLER" u="1"/>
        <s v="ACOMPANHAMENTO STARTUP - INJETORA 1500-06" u="1"/>
        <s v="ADEQUAÇÃO DE HISTÓRICO DE PRODUÇÃO_x000a_MÁQUINAS SPH30.1, SPH30.2 E SPH30.3" u="1"/>
        <s v="SISTEMA DE REGISTRO DE PARADAS - CARROSSEL 3" u="1"/>
        <s v="INSTALAÇÃO DE IM443 EM STEP7 400" u="1"/>
        <s v="REMOTA / ROCKWELL" u="1"/>
        <s v="ENGENHEIRO PLENO NA MODALIDADE H/H" u="1"/>
        <s v="MANUTENÇÃO HPDC E MANUTENÇÃO EM SOFTWARE STEP7 IDRA 2700-6" u="1"/>
        <s v="TROCA DE BARRAMENTO" u="1"/>
        <s v="TINA AUTOMÁTICA" u="1"/>
        <s v="FORNECIMENTO DE MATERIAIS E SERVIÇOS PARA AS CABINES DE TESTES" u="1"/>
        <s v="FORNECIMENTO DE SENSOR DE PRESSÃO ORÇ 28202" u="1"/>
        <s v="PAINEL DE CONTROLE E SEGURANÇA DA ALIMENTAÇÃO DO FORNO 2" u="1"/>
        <s v="FORA DE ESCOPO PROJETO DE LAMAS - CHAVES DE ATERRAMENTO" u="1"/>
        <s v="CUBÍCULO PARA USINA 2,5MW" u="1"/>
        <s v="PROGRAMADOR SÊNIOR NA MODALIDADE H/H" u="1"/>
        <s v="DESENVOLVIMENTO DE PROJETO ELÉTRICO PÁTIO G - USIMINAS" u="1"/>
        <s v="PAINÉIS PARA BRITAGEM" u="1"/>
        <s v="FORNECIMENTO DE TRANSMISSOR DE PRESSÃO TP510" u="1"/>
        <s v="FORNECIMENTO DE DISJUNTOR DE MÉDIA TENSÃO ON BOARD" u="1"/>
        <s v="FORNECIMENTO DE MATERIAIS E SERVIÇOS PARA AMPLIAÇÃO DA PRODUÇÃO   " u="1"/>
        <s v="SERVIÇO EM SOFTWARE NEMAK" u="1"/>
        <s v="ALTERAÇÃO DE MOTOR BP18" u="1"/>
        <s v="MANUAL DE OPERAÇÃO E MANUTENÇÃO DA IRRIGAÇÃO NOROESTE E CUBICULOS" u="1"/>
        <s v="FORNECIMENTOS DE PAINÉIS PNEUMÁTICOS" u="1"/>
        <s v="ET AL 156/20 - INSTALAÇÕES ELÉTRICAS - NOVA IMPREGNAÇÃO" u="1"/>
        <s v="ET AL 193/20 - RETROFIT ELÉTRICA E AUTOMAÇÃO DO SISTEMA DO TRANSPORTE PNEUMÁTICO" u="1"/>
        <s v="RFQ 7522 SERVIÇO MANUTENÇÃO PRENSA 3" u="1"/>
        <s v="DESCRIÇÃO STARTUP DA SOPRADORA" u="1"/>
        <s v="SUBSTITUIÇÃO DA COMUNICAÇÃO ENTRE PLC'S DA LINHA VW" u="1"/>
        <s v="ET AL 155/19 - CONTROL´S - SISTEMA DE TRANSPORTE TRIPLO PARA LINHA DE ACABAMENTO BLOCO T3/T4" u="1"/>
        <s v="PLACAS MONTADAS ARCELOR" u="1"/>
        <s v="ET AL 171/19 - PORTA FRONTAL AUTOMATIZADA - SOPRADORA SPH30R" u="1"/>
        <s v="RETROFIT DO SPINDLE MAUS - MODALIDADE H/H" u="1"/>
        <s v="AUTOMAÇÃO PÁTIO K USIMINAS " u="1"/>
        <s v="P4T_017134 - HH PROGRAMADOR DE AUTOMAÇÃO" u="1"/>
        <s v="ACIARIA 2 SERVIÇO DE IMPLEMENTAÇÃO DE LÓGICA DE DIVISÃO DE CARGA NOS INVERSORES DO CONVERTEDOR 4 " u="1"/>
        <s v="FORNECIMENTO DE PAINEL FR-5000" u="1"/>
        <s v="SERVIÇOS DE PROGRAMAÇÃO EM CARROSSEL 13 MODALIDADE H/H" u="1"/>
        <s v="COMPLEMENTO FILTER SCAN" u="1"/>
        <s v="ADEQUAÇÃO DE PROJETO E START UP DE FORNO" u="1"/>
        <s v="SERVIÇO PROGRAMAÇÃO ROBÔS E PLC - INJETORA 1800-13 TRANSMISSÕES GM F19" u="1"/>
        <s v="SUBESTAÇÃO ELÉTRICA" u="1"/>
        <s v="ASSITÊNCIA TÉCNICA CONTATOR" u="1"/>
        <s v="PAINEL ELÉTRICO" u="1"/>
        <s v="ELABORAÇÃO DE PROJETO SERRA MASSALOTE " u="1"/>
        <s v="Elaboração de desenho elétrico máquina revestidora" u="1"/>
        <s v="CARROSSEL 5" u="1"/>
        <s v="PRESTAÇÃO DE SERVIÇOS – HOMEM HORA PACOTE 36H" u="1"/>
        <s v="FORNECIMENTO DE MATERIAIS ORÇ. 26618" u="1"/>
        <s v="AUTOMAÇÃO TPH12619" u="1"/>
        <s v="SISTEMA DE COLETA DE PRODUÇÃO " u="1"/>
        <s v="PEI598 - Fornecimento de CCM Desaguamento de Lamas - Investimento Filtragem" u="1"/>
        <s v="SERVIÇOS ENG. ALTERAÇÃO ESTANQUEIDADE NEMAK" u="1"/>
        <s v="ET AL 88/21 - FORN DE COMPUTADORES DE BACKUP - CARROSSÉIS" u="1"/>
        <s v="ALTERAÇÕES NAS LINHAS DE FINES E MANUTENÇÃO NAS EXTRUSORAS DE FIBEX" u="1"/>
        <s v="ET-60/21 - COMIS. QUEBRADOR DE CANAIS E MASSALOTES ROSSIL" u="1"/>
        <s v="ASSISTÊNCIA TÉCNICA REDE 13,8 / 6,5 KM" u="1"/>
        <s v="TRANSPORTADORES ACABAMENTO GSE N3 E N4 / ELÉTRICA E AUTOMAÇÃO" u="1"/>
        <s v="TROCA DE PLC S5 SISITEMA UNIDOR POR PLC SIEMENS S7 PRENSA RASTER TSU" u="1"/>
        <s v="ET AL 043/21 - ALIMENTAÇÃO ELÉTRICA DO ELEVADOR - ALMOXARIFADO" u="1"/>
        <s v="MELHORIA SOFTWARE FLUXO FUNCIONAMENTO CARROSSEL4" u="1"/>
        <s v="ESTUDO DE VIABILIZAÇÃO TÉCNICA COM FORNECIMENTO DE PROJETO ELÉTRICO" u="1"/>
        <s v="MODIFICAÇÃO PLC ROCKWELL CFD" u="1"/>
        <s v="PRESTAÇÃO DE SERVIÇOS NA MODALIDADE H/H" u="1"/>
        <s v="FORNECIMENTO DE CCM" u="1"/>
        <s v="INSTALAÇÃO DE MULTIMEDIDOR" u="1"/>
        <s v="PEI655 - Fornecimento de CCM Linha A, CCM Linha B e QGBT " u="1"/>
        <s v="SISTEMA SEGURANÇA MOTOMAN" u="1"/>
        <s v="INTEGRAÇÃO DE CÉLULA DE PREPARAÇÃO GM CSS DO CARROSSEL #13" u="1"/>
        <s v="CONFECÇÃO DE NOVO SOFTWARE DE CONTROLE DE PLC, SUPERVISÓRIO E IHM PARA LINHA DE ENVASE" u="1"/>
        <s v="START UP PAINEL DO DECANTADOR CENTRIFUGA E BOMBEAMENTO" u="1"/>
        <s v="PEM594 - Manutenção ITM-09 - Engenharia Elétrica e Serviços de Montagem da Sala Elétrica ITM-09" u="1"/>
        <s v="PROJETO DE SPDA PARA PLANTA USINA DE ASFALTO" u="1"/>
        <s v="MODIFICAÇÕES NO PROGRAMA ROBÔ FANUC PMD" u="1"/>
        <s v="INSTALAÇÃO ROBÔS FANUC - INJETORAS 1500T" u="1"/>
        <s v="NBES 7648 - BANCADA DE GRAVAÇÃO LASER" u="1"/>
        <s v="091-21 - BH AIRPORT TPS 1 - RETROFIT - CONFINS - BH" u="1"/>
        <s v="ATUALIZAÇÃO DO APLICATIVO DE PLC SIEMENS V13 PARA V15" u="1"/>
        <s v="STARTUP" u="1"/>
        <s v="SERVIÇO DE READEQUAÇÃO DA COLUNA DO CCM 400-MC-02" u="1"/>
        <s v="FORNECIMENTO DE BOTOEIRA PARA PONTE ROLANTE" u="1"/>
        <s v="PEM600 - Serviços de Adequação ITM-02 Velha - Montagem Elétrica" u="1"/>
        <s v="FORNECIMENTO DE MATERIAIS ORÇ. 26590" u="1"/>
        <s v="TPH22960 - PAINÉIS AUTOMAÇÃO TÚNEIS E CINTADEIRAS" u="1"/>
        <s v="ASSISTÊNCIA H/H INJETORA 15" u="1"/>
        <s v="IMPLEMENTAÇÃO DE COMUNICAÇÃO COM SISTEMA CRONOS - DEMAIS MÁQUINAS" u="1"/>
        <s v="ASSITÊNCIA TÉCNICA - ADICIONAL OS2102020" u="1"/>
        <s v="PRESTAÇÃO DE SERVIÇOS COLABORADOR JÚNIOR" u="1"/>
        <s v="SUBESTAÇÃO EXTERNA - 2 TRANSFORMADORES DE 750 kVA MEDIÇÃO EM MÉDIA TENSÃO" u="1"/>
        <s v="IMPLEMENTAÇÃO DE COMUNICAÇÃO COM SISTEMA CRONOS -PRIMEIRA MÁQUINA" u="1"/>
        <s v="SERVIÇOS E MATERIAIS PARA SUBESTAÇÃO - PLANTA FERRO PURO" u="1"/>
        <s v="NBEM_RFQ-21016 - CERTIFICAÇÃO DE REDE DE EQUIPAMENTOS" u="1"/>
        <s v="ALTERAÇÃO NO SOFTWARE DO SISTEMA DE FILTRAGEM" u="1"/>
        <s v="MODIFICAÇÃO NA BR2 PARA INSTALAÇÃO DE DOIS SISTEMAS NA5" u="1"/>
        <s v="ADEQUAÇÃO ELÉTRICA SALA DE MASSAS HB, MEZANINO E EMBALAGEM" u="1"/>
        <s v="ADEQUAÇÃO PLC E IHM DA PRENSA DE FORJAR - EUMUCO 2000T" u="1"/>
        <s v="FORNECIMENTO DE SENSOR ORÇ. 26222" u="1"/>
        <s v="FORNECIMENTO DE GERADOR CATERPILLAR" u="1"/>
        <s v="PAINEL MISTURADOR" u="1"/>
        <s v="ASSISTÊNCIA TÉCNICA - TROCA TC" u="1"/>
        <s v="FORNECIMENTO DE REFRIGERADOR DE AR" u="1"/>
        <s v="FORNECIMENTO DE QCM E QDF" u="1"/>
        <s v="REMOTA PLC" u="1"/>
        <s v="SERVIÇO DE INSTALAÇÃO E REALOCAÇÃO DA SERRA OTS" u="1"/>
        <s v="VISITA FABIANO TROC A DE BARRAMENTO" u="1"/>
        <s v="AUTOMAÇÃO E INSTRUMENTAÇÃO DA PLANTA DE CONCENTRAÇÃO C1" u="1"/>
        <s v="AUTOMAÇÃO DO SISTEMA DE IRRIGAÇÃO" u="1"/>
        <s v="Painel de PLC e serviço engenharia para Injetora de Borra" u="1"/>
        <s v="TROCA DE TAGS DE EQUIPAMENTOS EM PLC E SUPERVISÓRIO" u="1"/>
        <s v="REFORMA DA LINHA 2" u="1"/>
        <s v="ET AL 110/21 - INCLUSÃO DE SISTEMA CONTROLE TEMPERATURA DAS GRAVADORAS" u="1"/>
        <s v="PEI586 - ITM-17 - Montagem Elétrica e instrumentação Desaguamento de Rejeito" u="1"/>
        <s v="FORNECIMENTO DE CLP ALLEN BRADLEY" u="1"/>
        <s v="FORNECIMENTO DE BANCADA PARA MARCAÇÃO QR CODE" u="1"/>
        <s v="MODIFICAÇÕES NAS CABINES DE TESTES FUNCIONAIS" u="1"/>
        <s v="SISTEMA DE CONTROLE PARA ALIMENTADOR DE CHAPA" u="1"/>
        <s v="INSTALAÇÃO DO BANCO DE DADOS SQL - CARROSSEL 4" u="1"/>
        <s v="NBES7614 - ADEQUAÇÃO NR12 INJETORA DCM 2000-16" u="1"/>
        <s v="ET AL 21/22 - CONV PROG IHM CARROS MISTURADORES, STATUP E ACOMP" u="1"/>
        <s v="ET AL 142/20 - INSTALAÇÃO DE SISTEMA PARA ABERTURA/FECHAMENTO DE PORTAS" u="1"/>
        <s v="DENILSON MLM" u="1"/>
        <s v="PAINEIS AUTOMAÇÃO NOVO DESPOEIRAMENTO FILTRO EG-08B" u="1"/>
        <s v="PROJETO PARA INSTALAÇÃO DE SOFT STARTER WEG SSW07 NO SHOPPING ANCHIETA  -  BH" u="1"/>
        <s v="ASSISTÊNCIA TÉCNICA  - HOMEM HORA" u="1"/>
        <s v="ADICIONAL A OBRA DE RETROFIT PARA ADEQUAÇÃO DE COMANDO, PROJETO E INTERLIGAÇÃO DE MESA DE COMANDO ADICIONAL" u="1"/>
        <s v="AUTOMAÇÃO DE  FÁBRICA DE TUBOS CIMENTÍCIOS." u="1"/>
        <s v="SERVIÇO DE INSTALAÇÃO DE RELE DE PROTEÇÃO CONTRA ARCO VOLTAICO" u="1"/>
        <s v="ASSISTÊNCIA TÉCNICA INJETORA 10 E 17" u="1"/>
        <s v="QUADRO DE DISTRIBUIÇÃO 400A" u="1"/>
        <s v="COTAÇÃO 2634 - PISTOLA PINTURA" u="1"/>
        <s v="COMUNICAÇÃO ENTRE CONTROLLOGIX E EQUIPAMENTOS EM MODBUS" u="1"/>
        <s v="PEI585 - Contratação de Serviços de Montagem Elétrica - Ampliação Desaguamento de Concentrado" u="1"/>
        <s v="ELABORAÇÃO DE DIAGRAMA UNIFILAR" u="1"/>
        <s v="ASSISTÊNCIA DE SOFTWARE - MODALIDADE H/H" u="1"/>
        <s v="PAINEL PARA ACIONAMENTO E AUTOMAÇÃO PARA PLANTA DE BENEFICIAMENTO DE MINÉRIO" u="1"/>
        <s v="AUTOMAÇÃO PLC LINHA CABEÇOTE  GM CSS" u="1"/>
        <s v="PROGRAMADOR DE PLC SÊNIOR NA MODALIDADE H/H" u="1"/>
        <s v="001660 - QUADRO DISTRIBUICAO EMBUTIR" u="1"/>
        <s v="FORNECIMENTO DE NUCLEO NANOCRISTALINO" u="1"/>
        <s v="NBES 7643 - SISTEMA ELÉTRICO - AUTOMAÇÃO – KFA" u="1"/>
        <s v="PROJETO ELÉTRICOS DIVERSOS - SANTANA DO ARAGUAIA-PA" u="1"/>
        <s v="AUTOMAÇÃO DO PÁTIO G" u="1"/>
        <s v="MÃO DE OBRA PARA PRESTAÇÃO DE SERVIÇO" u="1"/>
        <s v="ASSISTÊNCIA TÉCNICA - REINSTALAÇÃO DE TC" u="1"/>
        <s v="PROGRAMAÇÃO DE PLC E IHM SISTEMA DE BOMBEAMENTO BARRAGEM PONTAL" u="1"/>
        <s v="FORNECIMENTO DE MATERIAIS ELÉTRICOS ORÇ. 28807 E 28817" u="1"/>
        <s v="SERVIÇO ARRENDADO DE ENGENHARIA ELÉTRICA" u="1"/>
        <s v="SISTEMA DE NÍVEIS SEPARADORES ANÔNIMA." u="1"/>
        <s v="FORNECIMENTO DE PAINEL PLC E PAINEL IHM" u="1"/>
        <s v="SISTEMA RECEPÇÃO E ESTOCAGEM DE LEITE" u="1"/>
        <s v="PROJETO DE SPDA PARA PLANTA NOVA BRITA" u="1"/>
        <s v="AUTOMAÇÃO PLANTA DE MINERAÇÃO" u="1"/>
        <s v="DESENVOLVIMENTO DE RELATÓRIO DE TEMPERATURA DOS CARROSSÉIS 3 E 4 COM CRIAÇÃO DE HISTÓRICOS E EXPORTAÇÃO PARA EXCEL" u="1"/>
        <s v="INSTALAÇÃO ELÉTRICA DE SUBESTAÇÃO 13,8KV380-220V" u="1"/>
        <s v="NBEM_RFQ-21009 - GAGE AUTOMÁTICO - CABEÇOTE KAPPA" u="1"/>
        <s v="QUADROS DE DISTRIBUIÇÃO 125A E 150A" u="1"/>
        <s v="PROGRAMADOR PLENO NA MODALIDADE H/H" u="1"/>
        <s v="AMPLIAÇÃO DA CONCENTRAÇÃO, PLANTA SECA E NOVA BRITAGEM" u="1"/>
        <s v="INTERLIGAÇÃO DE QUADRO E MESA DE COMANDO DE BENEFICIAMENTO DE MINÉRIO" u="1"/>
        <s v="PROGRAMAÇÃO DE ENTRADA ANALÓGICA E INDICAÇÃO NO SUPERVISÓRIO PARA TRANSDUTOR DE PRESSÃO" u="1"/>
        <s v="REVENDA PAINÉIS" u="1"/>
        <s v="AS BUILT DOS PROJETOS ANDRITZ - FILTRAGEM DE LAMAS" u="1"/>
        <s v="CONTROLES DE TEMPERATURA - CARROSSEL 1" u="1"/>
        <s v="INSTALAÇÃO DE PLACAS DE REDE PROFINET EM ROBÔ FANUC - INJETORA 14" u="1"/>
        <s v="LEVANTAMENTO E PROJETO PARA QUADRO DE DISTRIBUIÇÃO" u="1"/>
        <s v="FORNECIMENTO TERMINAL ORÇ. 27954" u="1"/>
        <s v="ADEQUAÇÃO ELÉTRICA INJETORA 14" u="1"/>
        <s v="SA19037_O1 - OBRAS DO SISTEMA ABASTECIMENTO DE ÁGUA DE PARACATU" u="1"/>
        <s v="FILTRAGEM DE LAMAS" u="1"/>
        <s v="CÉLULA ROBÓTICA DE DOSAGEM E APLICAÇÃO DE LIGA METÁLICA" u="1"/>
        <s v="FORA DE ESCOPO - ASSISTÊNCIA CARROSSEL " u="1"/>
        <s v="ASSISTÊNCIA DIVERSAS MODALIDADE HH" u="1"/>
        <s v="SERVIÇOS DE ROBÓTICA ESPECIALIZADA EM ROBÔ KUKA NA MODALIDADE H/H" u="1"/>
        <s v="USINA DE GERAÇÃO A DIESEL 6MVA" u="1"/>
        <s v="PROJETO DE SPDA PARA PLANTA ITABRITA" u="1"/>
        <s v="CONTROLES DE TEMPERATURA - CARROSSEL 2" u="1"/>
        <s v="ADEQUAÇÃO DE PAINEL DA INJETORA 2500-2 - MODALIDADE H/H" u="1"/>
        <s v="FORNECIMENTO DE PAINEL DE ACIONAMENTO BAIA 3" u="1"/>
        <s v="PAINEL DE COMANDO DAS CORREIAS" u="1"/>
        <s v="FORA DE ESCOPO - NBES 7356  INTEGRAÇÃO CARROSSEL 13" u="1"/>
        <s v="PAINÉIS PARA PRENSAS 400T E 2000T" u="1"/>
        <s v="RECUPERAÇÃO DE SISTEMA WINAC EM IPC SIEMENS / REPARO CARROSSEL 13" u="1"/>
        <s v="ASSITÊNCIA TÉCNICA - ALTERAÇÃO EM FUNCIONAMENTO DE MÁQUINA" u="1"/>
        <s v="ET AL 115/20 - SISTEMA DE EXAUSTÃO / MACHARIA" u="1"/>
        <s v="ESTEIREIRA AUTOMATIZADA" u="1"/>
        <s v="PAINEL TESTE DE INTEGRIDADE" u="1"/>
        <s v="BANCO CAPACITOR AUTOMOTIVO 12 ESTAGIO 250KVAR" u="1"/>
        <s v="ET AL 164/19 INSTALAÇÃO DE CÂMERAS E TV´S - CARROSSÉIS 1 E 4" u="1"/>
        <s v="SERVIÇOS EM ROBÔ KUKA - CARROSSEL 13 " u="1"/>
        <s v="ALIMENTAÇÃO DE SOPRADORES - PÁTIO BARÃO DE COCAIS " u="1"/>
        <s v="ET AL 58/20 - INSTALAÇÃO ELÉTRICA DO CALCINADOR SOGEMI" u="1"/>
        <s v="RELATÓRIO DE MONITORAMENTO DE CONSUMO DE MICRO INGREDIENTES" u="1"/>
        <s v="MODIFICAÇÃO DO GIRO - CARROSSEL 3" u="1"/>
        <s v="NBES7620 - ADEQUAÇÃO A NR12 SOPRADORA H16-04" u="1"/>
        <s v="STARTUP PAINEL ELÉTRICO" u="1"/>
        <s v="ASSI. TÉC. COMISSIONAMENTO E STARTUP OP3934 / OP3988" u="1"/>
        <s v="FORNECIMENTO DE MULTIMEDIDOR SIEMENS" u="1"/>
        <s v="PAINEL PARA CONTROLODOR DE SOLDA" u="1"/>
        <s v="SERVIÇOS DE ADEQUAÇÃO DE 4 TRANSFORMADORES" u="1"/>
        <s v="ET AL 152/20 - ADEQUAÇÃO TRANSPORTE PNEUMÁTICO - 1ºETAPA" u="1"/>
        <s v="NBES MT020 ADEQUAÇÕES NR12 CARROSSEL" u="1"/>
        <s v="INSERÇÃO DE EQUIPAMENTOS DOS TANQUES DE FLOCULANTES NO SISTEMA SUPERVISÓRIO" u="1"/>
        <s v="FORNECIMENTO DE PAINEIS PARA ADEQUAÇÃO NR12" u="1"/>
        <s v="FORNECIMENTO DE MATERIAIS ELÉTRICOS ORÇ. 29134" u="1"/>
        <s v="ET AL 211/20 - PROJETO E MODIFICAÇÃO DE 5 CONJUNTOS DE PINÇAS DE LINER´S" u="1"/>
        <s v="AUTOMAÇÃO FILTRO EG-11B USIMINAS" u="1"/>
        <s v="RETROFIT DE DUAS REBARBADORAS MAUS" u="1"/>
        <s v="SISTEMA DE CONTROLE REMOTA C2" u="1"/>
        <s v="REMOTAS INOX IP66 - AUTOMAÇÃO MOAGEM" u="1"/>
        <s v="INCLUSÃO DE UMA MESA DE SAÍDA DE PECAS MASSALOTE BAIXO" u="1"/>
        <s v="ATUALIZAÇÃO IHM SPH30-1 - WINCC 2000 PARA WINCC TIA 15 " u="1"/>
        <s v="AUTOMAÇÃO DA PLANTA FERRO PURO" u="1"/>
        <s v="KIT ALOISIO" u="1"/>
        <s v="ET AL 107/21 QDC LORAMENDI L16" u="1"/>
        <s v="NBES MT 017 - ADEQUAÇÃO NR12 CARROSSEL 04" u="1"/>
        <s v="CUBÍCULO DE PROTEÇÃO PARA TRANSFORMADOR DE 1000KVA" u="1"/>
        <s v="NBES MT 023 - ADEQUAÇÃO NR12 CARROSSEL 07" u="1"/>
        <s v="NBES MT 018 - ADEQUAÇÃO NR12 CARROSSEL 08" u="1"/>
        <s v="NBES MT 019 - ADEQUAÇÃO NR12 CARROSSEL 09" u="1"/>
        <s v="PROGRAMADOR SÊNIOR NA MODALIDADE HH - INJETORA 1500-3" u="1"/>
        <s v="ET AL 13/21 - ADEQUAÇÃO PROJETO, INSTALAÇÃO E SOFTWARE PARA SOPRADORA L16 COLD BOX" u="1"/>
        <s v="ADEQUAÇÃO DE PAINÉIS BRITAGEM" u="1"/>
        <s v="FORNECIMENTO DE PAINEL PARA INJETORA" u="1"/>
        <s v="SERVIÇO DE ENGENHARIA" u="1"/>
        <s v="CRIAÇÃO DE GRÁFICO DE TEMPERATURA E CORRENTE DO MOTOR DO GIRO" u="1"/>
        <s v="PAINÉIS ARENA MRV" u="1"/>
        <s v="QUADRO DE DISTRIBUIÇÃO - QD-3000KP-44" u="1"/>
        <s v="CUBÍCULO PARA SUBESTAÇÃO DE 500 KVA " u="1"/>
        <s v="ALTERAÇÕES DE ENDEREÇAMENTO - PLC ALTUS" u="1"/>
        <s v="SERVIÇO DE ADEQUAÇÃO ELEVADOR DE CARGA" u="1"/>
        <s v="AUTOMAÇÃO DA PLANTA DE FLOTAÇÃO" u="1"/>
        <s v="SUBSTITUIÇÃO DE TRANSFORMADORES DE CORRENTE DA SUBESTAÇÃO" u="1"/>
        <s v="PAINEL PARA ACIONAMENTO E AUTOMAÇÃO SISTEMA DE BOMBEAMENTO 300CV -380V VIA RADIO" u="1"/>
        <s v="AUTOMAÇÃO DE INJETORAS" u="1"/>
        <s v="FORNECIMENTO ELETROCENTRO" u="1"/>
        <s v="FORNECIMENTO DE MATERIAIS ELÉTRICOS ORÇ. 28185" u="1"/>
        <s v="ASSISTENCIA TÉCNICA PARA MELHORIAS NA LINHA GARBUIO" u="1"/>
        <s v="ASSITÊNCIA TÉCNICA" u="1"/>
      </sharedItems>
    </cacheField>
    <cacheField name="VENDEDOR" numFmtId="166">
      <sharedItems containsNonDate="0" containsBlank="1" count="21">
        <m/>
        <s v="FABIANO/FELIPE" u="1"/>
        <s v="ALOISIO / RODRIGO" u="1"/>
        <s v="SILAS" u="1"/>
        <s v="MARCELO/NEILOR" u="1"/>
        <s v="MARCELO" u="1"/>
        <s v="MARCIO" u="1"/>
        <s v="ENGENHARIA" u="1"/>
        <s v="NEILOR / ALOISIO" u="1"/>
        <s v="NEILOR" u="1"/>
        <s v="JOSIANE" u="1"/>
        <s v="ALOÍSO/FABIANO" u="1"/>
        <s v="ALOISIO" u="1"/>
        <s v="RAMON" u="1"/>
        <s v="FABIANO" u="1"/>
        <s v="RODRIGO" u="1"/>
        <s v="MÁRCIO" u="1"/>
        <s v="ANTONIO LUIS / RODRIGO" u="1"/>
        <s v="FABIANO/SILAS" u="1"/>
        <s v="NEILOR / SILAS" u="1"/>
        <s v="NEILOR / FABIANO" u="1"/>
      </sharedItems>
    </cacheField>
    <cacheField name="VALOR ORÇADO" numFmtId="166">
      <sharedItems containsNonDate="0" containsString="0" containsBlank="1" containsNumber="1" minValue="0" maxValue="4228038.6900000004" count="460">
        <m/>
        <n v="0" u="1"/>
        <n v="8423.5676753087992" u="1"/>
        <n v="18910.45" u="1"/>
        <n v="6301.22" u="1"/>
        <n v="115307.26" u="1"/>
        <n v="768.79" u="1"/>
        <n v="910" u="1"/>
        <n v="1790" u="1"/>
        <n v="2310.0500000000002" u="1"/>
        <n v="2384" u="1"/>
        <n v="4216.1000000000004" u="1"/>
        <n v="5500" u="1"/>
        <n v="14476.88" u="1"/>
        <n v="63644.75" u="1"/>
        <n v="174186.84" u="1"/>
        <n v="1925358.05" u="1"/>
        <n v="68.27" u="1"/>
        <n v="747.68" u="1"/>
        <n v="1609.2612126024003" u="1"/>
        <n v="1633.55" u="1"/>
        <n v="32961.51" u="1"/>
        <n v="1938.6" u="1"/>
        <n v="3700" u="1"/>
        <n v="3925.99" u="1"/>
        <n v="8252.98" u="1"/>
        <n v="3322.11" u="1"/>
        <n v="4469.8" u="1"/>
        <n v="8275.73" u="1"/>
        <n v="12861.69" u="1"/>
        <n v="20197.439999999999" u="1"/>
        <n v="80488.960000000006" u="1"/>
        <n v="131480" u="1"/>
        <n v="216638.64" u="1"/>
        <n v="395854.56" u="1"/>
        <n v="3287.2" u="1"/>
        <n v="4895.63" u="1"/>
        <n v="7285" u="1"/>
        <n v="17086.25" u="1"/>
        <n v="37484.629999999997" u="1"/>
        <n v="38972.221409355145" u="1"/>
        <n v="240463.83" u="1"/>
        <n v="322365.78999999998" u="1"/>
        <n v="392038.56" u="1"/>
        <n v="536336.13" u="1"/>
        <n v="3975.73" u="1"/>
        <n v="4268.09" u="1"/>
        <n v="58360.88" u="1"/>
        <n v="72534.720000000001" u="1"/>
        <n v="219396" u="1"/>
        <n v="1097924.72" u="1"/>
        <n v="8861.5400000000009" u="1"/>
        <n v="9944.1200000000008" u="1"/>
        <n v="16922.900000000001" u="1"/>
        <n v="17719.86" u="1"/>
        <n v="21340.52" u="1"/>
        <n v="25159.24" u="1"/>
        <n v="28113.38" u="1"/>
        <n v="60821.18" u="1"/>
        <n v="378.4" u="1"/>
        <n v="535" u="1"/>
        <n v="1307.6399999999999" u="1"/>
        <n v="1597.32" u="1"/>
        <n v="1874.25" u="1"/>
        <n v="6159.56" u="1"/>
        <n v="62291.06" u="1"/>
        <n v="133034.34" u="1"/>
        <n v="136997.85999999999" u="1"/>
        <n v="3436.77" u="1"/>
        <n v="18812.16" u="1"/>
        <n v="29851.98" u="1"/>
        <n v="50811.53" u="1"/>
        <n v="91401.44" u="1"/>
        <n v="2200" u="1"/>
        <n v="2624.09" u="1"/>
        <n v="5769.09" u="1"/>
        <n v="10353.27" u="1"/>
        <n v="22513.48" u="1"/>
        <n v="135915.35999999999" u="1"/>
        <n v="4107057.32" u="1"/>
        <n v="632.91999999999996" u="1"/>
        <n v="1837.1" u="1"/>
        <n v="4086.57" u="1"/>
        <n v="11252.46" u="1"/>
        <n v="30985.4" u="1"/>
        <n v="66764.101927914424" u="1"/>
        <n v="1025539.18" u="1"/>
        <n v="2302.33" u="1"/>
        <n v="7026.14" u="1"/>
        <n v="15652.5537150528" u="1"/>
        <n v="31800" u="1"/>
        <n v="45945.120000000003" u="1"/>
        <n v="125007.82" u="1"/>
        <n v="571737.15" u="1"/>
        <n v="278.86" u="1"/>
        <n v="2818.33" u="1"/>
        <n v="10102.02" u="1"/>
        <n v="12430.14" u="1"/>
        <n v="18332.580000000002" u="1"/>
        <n v="25530.854269536001" u="1"/>
        <n v="39852.36" u="1"/>
        <n v="4142.8599999999997" u="1"/>
        <n v="6464.29" u="1"/>
        <n v="1869366.77" u="1"/>
        <n v="83.56" u="1"/>
        <n v="6448.87" u="1"/>
        <n v="35720" u="1"/>
        <n v="181722.75" u="1"/>
        <n v="3350.38" u="1"/>
        <n v="8164.33" u="1"/>
        <n v="29000" u="1"/>
        <n v="31140.34" u="1"/>
        <n v="91806.61" u="1"/>
        <n v="139874.53" u="1"/>
        <n v="166286.53" u="1"/>
        <n v="496407.88" u="1"/>
        <n v="1894376.85" u="1"/>
        <n v="1199.94" u="1"/>
        <n v="2204.65" u="1"/>
        <n v="98485.759999999995" u="1"/>
        <n v="279740.99" u="1"/>
        <n v="433746.61" u="1"/>
        <n v="2075.92" u="1"/>
        <n v="4100.76" u="1"/>
        <n v="5352.22" u="1"/>
        <n v="7505.53" u="1"/>
        <n v="10546.9" u="1"/>
        <n v="47346.863058614472" u="1"/>
        <n v="153308.22" u="1"/>
        <n v="155506.67000000001" u="1"/>
        <n v="269036.32" u="1"/>
        <n v="492493.92" u="1"/>
        <n v="1471.4" u="1"/>
        <n v="4401.95" u="1"/>
        <n v="50000" u="1"/>
        <n v="107339.85" u="1"/>
        <n v="191216.78" u="1"/>
        <n v="255221.27" u="1"/>
        <n v="548999.72" u="1"/>
        <n v="5831.5" u="1"/>
        <n v="7500" u="1"/>
        <n v="11575.11" u="1"/>
        <n v="53089.39" u="1"/>
        <n v="69643.350000000006" u="1"/>
        <n v="2140.1799999999998" u="1"/>
        <n v="2597.86" u="1"/>
        <n v="4268.18" u="1"/>
        <n v="8898.7422446832006" u="1"/>
        <n v="85768.49" u="1"/>
        <n v="122113.37583493418" u="1"/>
        <n v="850" u="1"/>
        <n v="4062.53" u="1"/>
        <n v="9469.8799999999992" u="1"/>
        <n v="10310.5518541368" u="1"/>
        <n v="17342.156450911425" u="1"/>
        <n v="5766.09" u="1"/>
        <n v="19803.653191689624" u="1"/>
        <n v="229442.2" u="1"/>
        <n v="3200000" u="1"/>
        <n v="340.02" u="1"/>
        <n v="540" u="1"/>
        <n v="895" u="1"/>
        <n v="3883.43" u="1"/>
        <n v="3965.79" u="1"/>
        <n v="4356.82" u="1"/>
        <n v="6800" u="1"/>
        <n v="7117.42" u="1"/>
        <n v="70043.33" u="1"/>
        <n v="139730.81" u="1"/>
        <n v="170777.57" u="1"/>
        <n v="6848.7" u="1"/>
        <n v="8529.02" u="1"/>
        <n v="38002.800000000003" u="1"/>
        <n v="75517.759999999995" u="1"/>
        <n v="136000" u="1"/>
        <n v="321310.40000000002" u="1"/>
        <n v="300" u="1"/>
        <n v="23741.29" u="1"/>
        <n v="60576.32" u="1"/>
        <n v="72800" u="1"/>
        <n v="107734.22" u="1"/>
        <n v="150791.85999999999" u="1"/>
        <n v="551977.50068420009" u="1"/>
        <n v="3539.7336269820007" u="1"/>
        <n v="4500" u="1"/>
        <n v="6775.06" u="1"/>
        <n v="64448.07" u="1"/>
        <n v="76384.350000000006" u="1"/>
        <n v="331630.51" u="1"/>
        <n v="522561.48" u="1"/>
        <n v="1331092.94" u="1"/>
        <n v="8048.0000800799999" u="1"/>
        <n v="20600" u="1"/>
        <n v="69053.16" u="1"/>
        <n v="992.52" u="1"/>
        <n v="3061.16" u="1"/>
        <n v="4913.08" u="1"/>
        <n v="243638.93" u="1"/>
        <n v="378.95" u="1"/>
        <n v="1250.9100000000001" u="1"/>
        <n v="2108.67" u="1"/>
        <n v="9623.01" u="1"/>
        <n v="39501.93" u="1"/>
        <n v="468238.89126874122" u="1"/>
        <n v="20411.150000000001" u="1"/>
        <n v="94300" u="1"/>
        <n v="289837.13" u="1"/>
        <n v="1601484.04" u="1"/>
        <n v="6660.25" u="1"/>
        <n v="32000" u="1"/>
        <n v="78964.210000000006" u="1"/>
        <n v="1584.6" u="1"/>
        <n v="1604.92" u="1"/>
        <n v="4278.5200000000004" u="1"/>
        <n v="9500" u="1"/>
        <n v="52394.720000000001" u="1"/>
        <n v="163352.87" u="1"/>
        <n v="240277.52" u="1"/>
        <n v="259416.75" u="1"/>
        <n v="1500" u="1"/>
        <n v="12528.62" u="1"/>
        <n v="23500" u="1"/>
        <n v="910.63" u="1"/>
        <n v="1451.77" u="1"/>
        <n v="1900" u="1"/>
        <n v="1984.27" u="1"/>
        <n v="2738.95" u="1"/>
        <n v="3385" u="1"/>
        <n v="9439" u="1"/>
        <n v="47675.25" u="1"/>
        <n v="124125.19" u="1"/>
        <n v="790785.66" u="1"/>
        <n v="2336.0500000000002" u="1"/>
        <n v="6215.07" u="1"/>
        <n v="13816.62" u="1"/>
        <n v="20981.75" u="1"/>
        <n v="23501.57" u="1"/>
        <n v="46049.440000000002" u="1"/>
        <n v="51684.49" u="1"/>
        <n v="786166.31" u="1"/>
        <n v="887075.05" u="1"/>
        <n v="440.38" u="1"/>
        <n v="995.09" u="1"/>
        <n v="2500" u="1"/>
        <n v="8978.57" u="1"/>
        <n v="20938.16" u="1"/>
        <n v="39982.300000000003" u="1"/>
        <n v="107252.79" u="1"/>
        <n v="172739.98" u="1"/>
        <n v="2400000" u="1"/>
        <n v="2320.8000000000002" u="1"/>
        <n v="5450.5" u="1"/>
        <n v="37168.379999999997" u="1"/>
        <n v="223844.66" u="1"/>
        <n v="252280.16" u="1"/>
        <n v="325388.11" u="1"/>
        <n v="6883.7" u="1"/>
        <n v="33042.29" u="1"/>
        <n v="96502.245322513772" u="1"/>
        <n v="206.09" u="1"/>
        <n v="3744.34" u="1"/>
        <n v="4100.7700000000004" u="1"/>
        <n v="10600" u="1"/>
        <n v="12614.57" u="1"/>
        <n v="20513.62" u="1"/>
        <n v="24264.83" u="1"/>
        <n v="24373.35" u="1"/>
        <n v="97742.85" u="1"/>
        <n v="129036.1" u="1"/>
        <n v="4228038.6900000004" u="1"/>
        <n v="2050.38" u="1"/>
        <n v="2180.7399999999998" u="1"/>
        <n v="19476.71" u="1"/>
        <n v="22994.36" u="1"/>
        <n v="30526.98" u="1"/>
        <n v="119900.71" u="1"/>
        <n v="126179.27" u="1"/>
        <n v="129373.18" u="1"/>
        <n v="233431.75" u="1"/>
        <n v="395440.66" u="1"/>
        <n v="945" u="1"/>
        <n v="1616.85" u="1"/>
        <n v="4056.13368853056" u="1"/>
        <n v="6207.74" u="1"/>
        <n v="27586.560000000001" u="1"/>
        <n v="1001877.01" u="1"/>
        <n v="7253.67" u="1"/>
        <n v="10616.35" u="1"/>
        <n v="70853" u="1"/>
        <n v="563300.81000000006" u="1"/>
        <n v="564" u="1"/>
        <n v="3486.53" u="1"/>
        <n v="7586.37" u="1"/>
        <n v="16512.240000000002" u="1"/>
        <n v="204195.45" u="1"/>
        <n v="220779.81" u="1"/>
        <n v="374141.41" u="1"/>
        <n v="3153102.65" u="1"/>
        <n v="6532.83" u="1"/>
        <n v="12786.34" u="1"/>
        <n v="59356.35" u="1"/>
        <n v="255837.9" u="1"/>
        <n v="20903.23" u="1"/>
        <n v="25267.94" u="1"/>
        <n v="25922.560000000001" u="1"/>
        <n v="37101.89" u="1"/>
        <n v="39932.910000000003" u="1"/>
        <n v="41943.839999999997" u="1"/>
        <n v="50327" u="1"/>
        <n v="175232.97" u="1"/>
        <n v="2999160.22" u="1"/>
        <n v="1892.86" u="1"/>
        <n v="1952.31" u="1"/>
        <n v="5808.1772699999983" u="1"/>
        <n v="10660.05" u="1"/>
        <n v="13815.9" u="1"/>
        <n v="25899.19" u="1"/>
        <n v="26228.46" u="1"/>
        <n v="28280.5" u="1"/>
        <n v="140534.15" u="1"/>
        <n v="174335.3" u="1"/>
        <n v="189518.71" u="1"/>
        <n v="5838.73" u="1"/>
        <n v="8356.2000000000007" u="1"/>
        <n v="33110.85" u="1"/>
        <n v="41350" u="1"/>
        <n v="160954.35" u="1"/>
        <n v="7608" u="1"/>
        <n v="22331.56" u="1"/>
        <n v="37585.612101239996" u="1"/>
        <n v="62166.7" u="1"/>
        <n v="283.45999999999998" u="1"/>
        <n v="1495.8631395348837" u="1"/>
        <n v="13862.75" u="1"/>
        <n v="15878.44" u="1"/>
        <n v="35344.660000000003" u="1"/>
        <n v="46755.9" u="1"/>
        <n v="179724.81" u="1"/>
        <n v="320891.73" u="1"/>
        <n v="1350017.37" u="1"/>
        <n v="2443.5500000000002" u="1"/>
        <n v="80349.75" u="1"/>
        <n v="2780.52" u="1"/>
        <n v="5788.0271862" u="1"/>
        <n v="18000" u="1"/>
        <n v="36514.36" u="1"/>
        <n v="40881.54" u="1"/>
        <n v="41464.14" u="1"/>
        <n v="53317.34" u="1"/>
        <n v="88973.8" u="1"/>
        <n v="164701.4" u="1"/>
        <n v="2250.14" u="1"/>
        <n v="4568.6499999999996" u="1"/>
        <n v="44945.39" u="1"/>
        <n v="49259.32" u="1"/>
        <n v="5094.2700000000004" u="1"/>
        <n v="7063.2" u="1"/>
        <n v="29835.65" u="1"/>
        <n v="49138.837142001605" u="1"/>
        <n v="230909.15" u="1"/>
        <n v="805851.18" u="1"/>
        <n v="959353.18" u="1"/>
        <n v="1207371.6599999999" u="1"/>
        <n v="116.4" u="1"/>
        <n v="848.72" u="1"/>
        <n v="13219.2" u="1"/>
        <n v="16000" u="1"/>
        <n v="16299.7861803216" u="1"/>
        <n v="23000" u="1"/>
        <n v="32008.68" u="1"/>
        <n v="56458.19" u="1"/>
        <n v="88257.27" u="1"/>
        <n v="104734.42" u="1"/>
        <n v="183416.01" u="1"/>
        <n v="275183.05" u="1"/>
        <n v="1850000" u="1"/>
        <n v="1496" u="1"/>
        <n v="2781.04" u="1"/>
        <n v="9748.07" u="1"/>
        <n v="17727.12" u="1"/>
        <n v="19852.29" u="1"/>
        <n v="302484.46999999997" u="1"/>
        <n v="7777.64" u="1"/>
        <n v="19578.63" u="1"/>
        <n v="26810.037364359156" u="1"/>
        <n v="66850.81" u="1"/>
        <n v="107439.85" u="1"/>
        <n v="440563.98" u="1"/>
        <n v="613751.44999999995" u="1"/>
        <n v="1472.78" u="1"/>
        <n v="1881.03" u="1"/>
        <n v="13242.01" u="1"/>
        <n v="40260.980000000003" u="1"/>
        <n v="58898.48" u="1"/>
        <n v="1509.86" u="1"/>
        <n v="1894.87" u="1"/>
        <n v="10609.73" u="1"/>
        <n v="27031.17" u="1"/>
        <n v="44662.76" u="1"/>
        <n v="94000" u="1"/>
        <n v="5654.38" u="1"/>
        <n v="8523.0400000000009" u="1"/>
        <n v="28899.86" u="1"/>
        <n v="1295" u="1"/>
        <n v="5165.0200000000004" u="1"/>
        <n v="6328.15" u="1"/>
        <n v="21392.575009343996" u="1"/>
        <n v="22849.7" u="1"/>
        <n v="66987.850000000006" u="1"/>
        <n v="103758.69" u="1"/>
        <n v="140991.96" u="1"/>
        <n v="1345722.14" u="1"/>
        <n v="1406081.84" u="1"/>
        <n v="1780000" u="1"/>
        <n v="4406.18" u="1"/>
        <n v="10000" u="1"/>
        <n v="24732.180825759999" u="1"/>
        <n v="46055.56630717792" u="1"/>
        <n v="80088.27" u="1"/>
        <n v="136542.57" u="1"/>
        <n v="896286.24" u="1"/>
        <n v="1329.37" u="1"/>
        <n v="1715.53" u="1"/>
        <n v="2545.77" u="1"/>
        <n v="6554.94" u="1"/>
        <n v="7550.43" u="1"/>
        <n v="13183.6" u="1"/>
        <n v="14584.33" u="1"/>
        <n v="14973.71" u="1"/>
        <n v="24945.54" u="1"/>
        <n v="48361.97" u="1"/>
        <n v="108807.33" u="1"/>
        <n v="173446.87166230753" u="1"/>
        <n v="1713.48" u="1"/>
        <n v="57289.78" u="1"/>
        <n v="75597.56" u="1"/>
        <n v="296902.43" u="1"/>
        <n v="289.06" u="1"/>
        <n v="2282.4" u="1"/>
        <n v="6218.48" u="1"/>
        <n v="14897.6" u="1"/>
        <n v="36252.199999999997" u="1"/>
        <n v="60015.87" u="1"/>
        <n v="89994.82" u="1"/>
        <n v="939.44184364800014" u="1"/>
        <n v="2523.85" u="1"/>
        <n v="33900" u="1"/>
        <n v="69942.740000000005" u="1"/>
        <n v="777.51" u="1"/>
        <n v="22209.81" u="1"/>
        <n v="37502.35" u="1"/>
        <n v="1462.13" u="1"/>
        <n v="1790.61" u="1"/>
        <n v="2867.04" u="1"/>
        <n v="5072.79" u="1"/>
        <n v="21000" u="1"/>
        <n v="6725.0989713600002" u="1"/>
        <n v="57638.28" u="1"/>
        <n v="107992.42" u="1"/>
        <n v="213928" u="1"/>
      </sharedItems>
    </cacheField>
    <cacheField name="COORDENADOR DO PROJETO" numFmtId="14">
      <sharedItems containsNonDate="0" containsBlank="1" count="143">
        <m/>
        <s v="FABIANO / NEILOR" u="1"/>
        <s v="SILAS/LUDMILLA/MARCÃO" u="1"/>
        <s v="JOSIANE / ALOISIO / SILAS" u="1"/>
        <s v="JOSIANE / ANTÔNIO / SILAS" u="1"/>
        <s v="JOSIANE / FABIANO / SILAS" u="1"/>
        <s v="JOSIANE / FABIANO / ALOISIO / REINALDO" u="1"/>
        <s v="MARCIO/JOSIANE" u="1"/>
        <s v="MÁRCIO / NEILOR / JOSIANE" u="1"/>
        <s v="SILAS" u="1"/>
        <s v="LUDMILLA/NEILOR/SILAS" u="1"/>
        <s v="LUDMILLA/MARCIO/FABIANO" u="1"/>
        <s v="NEILOR / JOSIANE" u="1"/>
        <s v="JOSIANE / FABIANO" u="1"/>
        <s v="LUDMILLA/MARCELO/NEILOR" u="1"/>
        <s v="SILAS / ALOISIO / JOSIANE" u="1"/>
        <s v="ALOISIO / FABIANO / JOSIANE" u="1"/>
        <s v="ALOISIO / RODRIGO / JOSIANE" u="1"/>
        <s v="SILAS / ANTONIO MAIA / JOSIANE" u="1"/>
        <s v="SILAS/NEILOR/JOSIANE" u="1"/>
        <s v="MÁRCIO /  FLÁVIO / JOSIANE" u="1"/>
        <s v="MÁRCIO / FABIANO / JOSIANE" u="1"/>
        <s v="FABIANO / ALOISIO / JOSIANE" u="1"/>
        <s v="FABIANO / RODRIGO / JOSIANE" u="1"/>
        <s v="MARCELO / FABIANO / JOSIANE" u="1"/>
        <s v="MARCELO / RODRIGO / JOSIANE" u="1"/>
        <s v="MARCELO/JOSIANE" u="1"/>
        <s v="LUDMILLA /MARCIO" u="1"/>
        <s v="JOSIANE / ALOISIO" u="1"/>
        <s v="JOSIANE/ALOSIO/SILAS" u="1"/>
        <s v="JOSIANE / SILAS / FELIPE" u="1"/>
        <s v="JOSIANE/LUDMILLA/ALOISIO/SILAS" u="1"/>
        <s v="JOSIANE / FABIANO / NEILOR / MARCIO" u="1"/>
        <s v="NEILOR/MARCIO" u="1"/>
        <s v="FABIANO/ALOISIO" u="1"/>
        <s v="JOSIANE / FLÁVIO" u="1"/>
        <s v="NEILOR / LUDMILLA" u="1"/>
        <s v="MARCIO /JOSIANE" u="1"/>
        <s v="JOSIANE/LUDMILLA/FABIANO" u="1"/>
        <s v="NEILOR / SILAS / JOSIANE" u="1"/>
        <s v="MARCIO" u="1"/>
        <s v="JOSIANE/NEILOR/MARCIO" u="1"/>
        <s v="JOSIANE / FABIANO / ALOÍSIO" u="1"/>
        <s v="MARCELO/NEILOR / LUDMILLA" u="1"/>
        <s v="JOSIANE / NEILOR / MARCELO" u="1"/>
        <s v="ALOÍSIO / LUDMILLA / JOSIANE" u="1"/>
        <s v="ANTÔNIO MAIA / JOSIANE" u="1"/>
        <s v="FABIANO / RODRIGO / ALOÍSIO / JOSIANE" u="1"/>
        <s v="JOSIANE / NEILOR / MARCIO" u="1"/>
        <s v="JOSIANE / FABIANO / NEILOR" u="1"/>
        <s v="FABIANO/FELIPE/JOSIANE" u="1"/>
        <s v="ALOISIO/FABIANO/JOSIANE" u="1"/>
        <s v="ALOÍSIO / SILAS / JOSIANE" u="1"/>
        <s v="JOSIANE / NEILOR / FLÁVIO" u="1"/>
        <s v="LUDMILLA/ALOISIO" u="1"/>
        <s v="FABIANO / SILAS / JOSIANE" u="1"/>
        <s v="MARCIO / NEILOR / JOSIANE" u="1"/>
        <s v="JOSIANE / FABIANO / MÁRCIO" u="1"/>
        <s v="LUDMILLA/FLAVIO" u="1"/>
        <s v="JOSIANE/FABIANO/ALOISIO" u="1"/>
        <s v="ALOÍSIO / NEILOR / JOSIANE" u="1"/>
        <s v="JOSIANE / MÁRCIO" u="1"/>
        <s v="ALOÍSIO / JOSIANE" u="1"/>
        <s v="MÁRCIO / FABIANO / ALOÍSIO / JOSIANE" u="1"/>
        <s v="ALOISIO / JOSIANE" u="1"/>
        <s v="JOSIANE/LUDMILLA/MARCIO" u="1"/>
        <s v="FABIANO / FLAVIO / JOSIANE" u="1"/>
        <s v="FABIANO / NEILOR / JOSIANE" u="1"/>
        <s v="MARCIO / MARCELO / JOSIANE" u="1"/>
        <s v="LUDMILA" u="1"/>
        <s v="FABIANO / JOSIANE" u="1"/>
        <s v="MARCELO / JOSIANE" u="1"/>
        <s v="JOSIANE / SILAS" u="1"/>
        <s v="MÁRCIO / JOSIANE" u="1"/>
        <s v="JOSIANE / MARCELO" u="1"/>
        <s v="ALOISIO/FABIANO/LUDMILLA" u="1"/>
        <s v="NEILOR  / JOSIANE " u="1"/>
        <s v="SILAS/ALOISIO/JOSIANE" u="1"/>
        <s v="RADINAN/ALOISIO/JOSIANE" u="1"/>
        <s v="JOSIANE / NEILOR" u="1"/>
        <s v="RAMON/JOSIANE" u="1"/>
        <s v="JOSIANE/MARCIO" u="1"/>
        <s v="NEILOR / MÁRCIO" u="1"/>
        <s v="ALOISIO / LUDMILLA" u="1"/>
        <s v="ALOISIO/NEILOR/JOSIANE" u="1"/>
        <s v="FABIANO / LUDMILLA" u="1"/>
        <s v="MARCELO / LUDMILLA" u="1"/>
        <s v="FABIANO/NEILOR/JOSIANE" u="1"/>
        <s v="JOSIANE/LUDMILLA/ALOISIO" u="1"/>
        <s v="SILAS / MÁRCIO / JOSIANE" u="1"/>
        <s v="SILAS / NEILOR / JOSIANE" u="1"/>
        <s v="CARLOS / JOSIANE" u="1"/>
        <s v="ALOISIO / FABIANO" u="1"/>
        <s v="NEILOR/JOSIANE" u="1"/>
        <s v="LUDMILA / NEILOR" u="1"/>
        <s v="JOSIANE/ALOISIO/PAULO INACIO" u="1"/>
        <s v="RAMON / JOSIANE" u="1"/>
        <s v="FABIANO/JOSIANE/ALOISIO" u="1"/>
        <s v="SILAS/JOSIANE" u="1"/>
        <s v="LUDMILLA/SILAS" u="1"/>
        <s v="ALOISIO/CARLOS/JOSIANE" u="1"/>
        <s v="JOSIANE / FABIANO / ALOISIO" u="1"/>
        <s v="MARCIO / JOSIANE" u="1"/>
        <s v="ASSISTÊNCIA TÉCNICA" u="1"/>
        <s v="LUDMILLA/FABIANO/CAIO" u="1"/>
        <s v="NEILOR / FLÁVIO / JOSIANE" u="1"/>
        <s v="NEILOR / MARCIO / JOSIANE" u="1"/>
        <s v="NEILOR / MÁRCIO / JOSIANE" u="1"/>
        <s v="NEILOR /JOSIANE" u="1"/>
        <s v="LUDMILLA/FABIANO" u="1"/>
        <s v="JOSIANE / FABIANO / ALEXANDRE" u="1"/>
        <s v="FLÁVIO / JOSIANE" u="1"/>
        <s v="MÁRCIO/JOSIANE" u="1"/>
        <s v="MÁRCIO / LUDMILA" u="1"/>
        <s v="FELIPE / FABIANO / JOSIANE" u="1"/>
        <s v="NEILOR / ALOISIO / JOSIANE" u="1"/>
        <s v="NEILOR / FABIANO / JOSIANE" u="1"/>
        <s v="NEILOR / MARCELO / JOSIANE" u="1"/>
        <s v="NEILOR / RODRIGO / JOSIANE" u="1"/>
        <s v="NEILOR/RAMON/" u="1"/>
        <s v="LUDMILLA/MARCIO" u="1"/>
        <s v="NEILOR" u="1"/>
        <s v="JOSIANE" u="1"/>
        <s v="FABIANO/JOSIANE" u="1"/>
        <s v="RODRIGO/JOSIANE" u="1"/>
        <s v="SILAS / JOSIANE" u="1"/>
        <s v="JOSIANE / MARCIO / SILAS" u="1"/>
        <s v="JOSIANE / SILAS / ALOISIO" u="1"/>
        <s v="JOSIANE / MARCIO" u="1"/>
        <s v="JOSIANE / FABIANO / RADINAN" u="1"/>
        <s v="JOSIANE/SILAS" u="1"/>
        <s v="ALOISIO" u="1"/>
        <s v="JOSIANE/FABIANO/SILAS" u="1"/>
        <s v="FABIANO" u="1"/>
        <s v="MARCIO/LUDMILLA" u="1"/>
        <s v="JOSIANE/ALOISIO/FABIANO" u="1"/>
        <s v="RODRIGO / JOSIANE" u="1"/>
        <s v="ANTONIO LUIS / RODRIGO" u="1"/>
        <s v="JOSIANE/ SILAS" u="1"/>
        <s v="LUDMILLA/MARCELO" u="1"/>
        <s v="JOSIANE / FLAVIO / FABIANO" u="1"/>
        <s v="JOSIANE / NEILOR / FABIANO" u="1"/>
        <s v="LUDMILLA/NEILOR" u="1"/>
      </sharedItems>
    </cacheField>
    <cacheField name="DATA ENVIO" numFmtId="0">
      <sharedItems containsNonDate="0" containsString="0" containsBlank="1" count="1">
        <m/>
      </sharedItems>
    </cacheField>
    <cacheField name="STATUS" numFmtId="0">
      <sharedItems containsNonDate="0" containsBlank="1" count="9">
        <m/>
        <s v="ANDAMENTO" u="1"/>
        <s v="EM ANÁLISE" u="1"/>
        <s v="CANCELADO" u="1"/>
        <s v="DECLÍNIO" u="1"/>
        <s v="ENVIADO" u="1"/>
        <s v="PERDIDO" u="1"/>
        <s v="FECHADO" u="1"/>
        <s v="CONCLUÍDO" u="1"/>
      </sharedItems>
    </cacheField>
    <cacheField name="OBSERVAÇÕES" numFmtId="14">
      <sharedItems containsNonDate="0" containsBlank="1" count="51">
        <m/>
        <s v="POSTADA NO PORTAL 60% DESCO" u="1"/>
        <s v="JULIO CESAR INFORMOU ESTAR SEM PREVISÃO" u="1"/>
        <s v="OBSERVAÇÃO NA PASTA DA OS - ALTC AUTORIZOU" u="1"/>
        <s v="PRAZO NÃO ATENDEU O CLIENTE" u="1"/>
        <s v="Capacidade produtiva compromeida" u="1"/>
        <s v="DECLINADO PELO CLIENTE DIEGO" u="1"/>
        <s v="Indisponibilidade de mão de obra" u="1"/>
        <s v="NÃO FAZ PARTE DO ESCOPO LAUDO DE SEGURANÇA" u="1"/>
        <s v="Por em sua grande maioria não fazer parte de nosso escopo de fornecimento." u="1"/>
        <s v="DENILSON ENVIOU - SILAS FEZ PROP TÉCNICA" u="1"/>
        <s v="JUNÇÃO NA OS019/2020" u="1"/>
        <s v="PAULO CIRINO PERDEU A CONCORRÊNCIA" u="1"/>
        <s v="SEGUNDO SIMONE MLM CLIENTE ACHOU + BARATO" u="1"/>
        <s v="PROPOSTA 0412019 ATUALIZADA - PERDIDO CONFORME ALOÍSIO INFORMO -15% CONCORRENTE" u="1"/>
        <s v="SEGUNDO ALOISIO CLIENTE ARRUMOU OUTRA SOLUÇÃO QUE ATENDEU A NECESSIDADE  NÃO SENDO NESSÁRIA A COMPRA" u="1"/>
        <s v="ENCAMINHADA PARA VENDEDOR FELIPE E FLÁVIO" u="1"/>
        <s v="VINICIUS FEZ COMPRA MAIOR DIRETA" u="1"/>
        <s v="Nossa capacidade produtiva está comprometida em obras anteriores." u="1"/>
        <s v="EWERTON MIRANDA INFORMOU KM CARO" u="1"/>
        <s v="FORNECEDOR QUE ESTAVA COM PENDENCIA TRATOU" u="1"/>
        <s v="CLIENTE CONSEGUIU RECUPERAR PEÇA ANTIGA" u="1"/>
        <s v="Devido a nossa capacidade técnica/produtiva estar comprometida em obras anteriores, e ao curto prazo para conclusão dos serviços, agradecemos." u="1"/>
        <s v="ENCAMINHADA PARA VENDEDOR PAULO INÁCIO" u="1"/>
        <s v="JUNCIONADA NA OS141/2019" u="1"/>
        <s v="FREDERICO FECHOU COM MENOR CUSTO" u="1"/>
        <s v="JUNÇÃO NA OS076/2020" u="1"/>
        <s v="ALBERLEY NÃO FECHOU OS131/2019" u="1"/>
        <s v="CLIENTE JUNIOR VALENTINO PRECISA PARAR A FABRICA, PORTANTO SOMENTE NO FINAL DO ANO" u="1"/>
        <s v="FECHADO COM ROBOTISTA DA PRÓPRIA KUKA" u="1"/>
        <s v="PASSADO PARA CLAUDIO NA MLM" u="1"/>
        <s v="Junção com OS026/2019 na OS050/2019" u="1"/>
        <s v="GIOVANI INFORMOU QUE COMPROU MAIS BARATO" u="1"/>
        <s v="ENVIADA WILLIAM PRADO - MARCIO DISSE QUE PODERIA CANCELAR" u="1"/>
        <s v="CLIENTE SOLICTOU PROPOSTA P/ 1 INJ - OS0802020" u="1"/>
        <s v="ENVIADO PELA MONTAGEM" u="1"/>
        <s v="PARTE DO SERVIÇO NÃO FAZ PARTE DO ESCOPO" u="1"/>
        <s v="HENRIQUE CARNEIRO ACHOU CARO VAI READEQUAR PROJETOPARA MENOR CUSTO" u="1"/>
        <s v="FORA DE ESCOPO DE FORNECIMENTO" u="1"/>
        <s v="Fora do escopo de fornecimento" u="1"/>
        <s v="H / H" u="1"/>
        <s v="CONCORRENTE SEALTECH" u="1"/>
        <s v="GABRIEL FERNANDES SOLICITOU OS085/086/087" u="1"/>
        <s v="DIVIDIR EM 2 OPERAÇÃO" u="1"/>
        <s v="Cadastrada em duplicidade mesma OS033/2019" u="1"/>
        <s v="SERVIÇO ACORDADO DE BOCA COM ALOÍSIO DISSE QUE MLM FATUROU" u="1"/>
        <s v="PENDÊNCIA COM ESCOPO DO CLIENTE " u="1"/>
        <s v="ET ALTERADA COM MAIOR PARTE MECÂNICA" u="1"/>
        <s v="UNIDA AO VALOR DA OS0292021" u="1"/>
        <s v="FITTER INFORMOU QUE TEKSID FECHOU COM CONCORRENTE" u="1"/>
        <s v="PASSADO PARA LUIS FELIPE NA MLM" u="1"/>
      </sharedItems>
    </cacheField>
    <cacheField name="TIPO" numFmtId="0">
      <sharedItems/>
    </cacheField>
    <cacheField name="MÊS" numFmtId="14">
      <sharedItems count="12">
        <s v="FORA DO CALENDARIO"/>
        <s v="JANEIRO" u="1"/>
        <s v="ABRIL" u="1"/>
        <s v="JULHO" u="1"/>
        <s v="OUTUBRO" u="1"/>
        <s v="JUNHO" u="1"/>
        <s v="SETEMBRO" u="1"/>
        <s v="MAIO" u="1"/>
        <s v="NOVEMBRO" u="1"/>
        <s v="AGOSTO" u="1"/>
        <s v="MARÇO" u="1"/>
        <s v="FEVEREIRO" u="1"/>
      </sharedItems>
    </cacheField>
    <cacheField name="ANO" numFmtId="14">
      <sharedItems containsSemiMixedTypes="0" containsNonDate="0" containsDate="1" containsString="0" minDate="1905-03-14T00:00:00" maxDate="1905-03-15T00:00:00"/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la Silveira" refreshedDate="46275.432892939818" createdVersion="4" refreshedVersion="8" minRefreshableVersion="3" recordCount="5" xr:uid="{00000000-000A-0000-FFFF-FFFF00000000}">
  <cacheSource type="worksheet">
    <worksheetSource name="LANC_FAT"/>
  </cacheSource>
  <cacheFields count="13">
    <cacheField name="OP/OS" numFmtId="0">
      <sharedItems containsNonDate="0" containsString="0" containsBlank="1" containsNumber="1" containsInteger="1" minValue="349" maxValue="468741" count="2313">
        <m/>
        <n v="582" u="1"/>
        <n v="4210" u="1"/>
        <n v="517" u="1"/>
        <n v="4023" u="1"/>
        <n v="3893" u="1"/>
        <n v="3763" u="1"/>
        <n v="3633" u="1"/>
        <n v="3503" u="1"/>
        <n v="3373" u="1"/>
        <n v="417" u="1"/>
        <n v="3243" u="1"/>
        <n v="3113" u="1"/>
        <n v="4147" u="1"/>
        <n v="2983" u="1"/>
        <n v="2853" u="1"/>
        <n v="352" u="1"/>
        <n v="2723" u="1"/>
        <n v="2593" u="1"/>
        <n v="4344" u="1"/>
        <n v="4090" u="1"/>
        <n v="973" u="1"/>
        <n v="3830" u="1"/>
        <n v="3700" u="1"/>
        <n v="3440" u="1"/>
        <n v="3310" u="1"/>
        <n v="3180" u="1"/>
        <n v="4281" u="1"/>
        <n v="778" u="1"/>
        <n v="3050" u="1"/>
        <n v="2920" u="1"/>
        <n v="713" u="1"/>
        <n v="2790" u="1"/>
        <n v="2660" u="1"/>
        <n v="648" u="1"/>
        <n v="583" u="1"/>
        <n v="4218" u="1"/>
        <n v="518" u="1"/>
        <n v="3897" u="1"/>
        <n v="3767" u="1"/>
        <n v="3637" u="1"/>
        <n v="3507" u="1"/>
        <n v="3377" u="1"/>
        <n v="3247" u="1"/>
        <n v="3117" u="1"/>
        <n v="4155" u="1"/>
        <n v="385" u="1"/>
        <n v="2987" u="1"/>
        <n v="2857" u="1"/>
        <n v="2727" u="1"/>
        <n v="2597" u="1"/>
        <n v="4352" u="1"/>
        <n v="1054" u="1"/>
        <n v="4094" u="1"/>
        <n v="3964" u="1"/>
        <n v="3834" u="1"/>
        <n v="3704" u="1"/>
        <n v="909" u="1"/>
        <n v="3574" u="1"/>
        <n v="3444" u="1"/>
        <n v="844" u="1"/>
        <n v="3314" u="1"/>
        <n v="3184" u="1"/>
        <n v="4289" u="1"/>
        <n v="779" u="1"/>
        <n v="2924" u="1"/>
        <n v="714" u="1"/>
        <n v="2794" u="1"/>
        <n v="2664" u="1"/>
        <n v="584" u="1"/>
        <n v="4226" u="1"/>
        <n v="519" u="1"/>
        <n v="4031" u="1"/>
        <n v="3771" u="1"/>
        <n v="3641" u="1"/>
        <n v="3511" u="1"/>
        <n v="3381" u="1"/>
        <n v="418" u="1"/>
        <n v="3251" u="1"/>
        <n v="3121" u="1"/>
        <n v="4163" u="1"/>
        <n v="2991" u="1"/>
        <n v="2861" u="1"/>
        <n v="353" u="1"/>
        <n v="2731" u="1"/>
        <n v="4360" u="1"/>
        <n v="1056" u="1"/>
        <n v="4100" u="1"/>
        <n v="3968" u="1"/>
        <n v="975" u="1"/>
        <n v="3838" u="1"/>
        <n v="3708" u="1"/>
        <n v="910" u="1"/>
        <n v="3578" u="1"/>
        <n v="3448" u="1"/>
        <n v="845" u="1"/>
        <n v="3318" u="1"/>
        <n v="3188" u="1"/>
        <n v="4297" u="1"/>
        <n v="780" u="1"/>
        <n v="2928" u="1"/>
        <n v="715" u="1"/>
        <n v="2798" u="1"/>
        <n v="2668" u="1"/>
        <n v="650" u="1"/>
        <n v="4234" u="1"/>
        <n v="520" u="1"/>
        <n v="4035" u="1"/>
        <n v="3905" u="1"/>
        <n v="3775" u="1"/>
        <n v="3645" u="1"/>
        <n v="451" u="1"/>
        <n v="3515" u="1"/>
        <n v="3385" u="1"/>
        <n v="3255" u="1"/>
        <n v="3125" u="1"/>
        <n v="4171" u="1"/>
        <n v="386" u="1"/>
        <n v="2995" u="1"/>
        <n v="2865" u="1"/>
        <n v="2735" u="1"/>
        <n v="2605" u="1"/>
        <n v="4368" u="1"/>
        <n v="1058" u="1"/>
        <n v="4108" u="1"/>
        <n v="3972" u="1"/>
        <n v="3842" u="1"/>
        <n v="3712" u="1"/>
        <n v="3582" u="1"/>
        <n v="846" u="1"/>
        <n v="3322" u="1"/>
        <n v="4305" u="1"/>
        <n v="781" u="1"/>
        <n v="3062" u="1"/>
        <n v="2932" u="1"/>
        <n v="716" u="1"/>
        <n v="2802" u="1"/>
        <n v="2672" u="1"/>
        <n v="651" u="1"/>
        <n v="4242" u="1"/>
        <n v="521" u="1"/>
        <n v="4039" u="1"/>
        <n v="3909" u="1"/>
        <n v="3779" u="1"/>
        <n v="3649" u="1"/>
        <n v="3519" u="1"/>
        <n v="3389" u="1"/>
        <n v="419" u="1"/>
        <n v="3259" u="1"/>
        <n v="3129" u="1"/>
        <n v="4179" u="1"/>
        <n v="2999" u="1"/>
        <n v="2869" u="1"/>
        <n v="354" u="1"/>
        <n v="2739" u="1"/>
        <n v="2609" u="1"/>
        <n v="4376" u="1"/>
        <n v="1060" u="1"/>
        <n v="4116" u="1"/>
        <n v="3976" u="1"/>
        <n v="977" u="1"/>
        <n v="3846" u="1"/>
        <n v="3716" u="1"/>
        <n v="912" u="1"/>
        <n v="3586" u="1"/>
        <n v="3456" u="1"/>
        <n v="847" u="1"/>
        <n v="3326" u="1"/>
        <n v="3196" u="1"/>
        <n v="2936" u="1"/>
        <n v="717" u="1"/>
        <n v="2806" u="1"/>
        <n v="2676" u="1"/>
        <n v="652" u="1"/>
        <n v="4250" u="1"/>
        <n v="4043" u="1"/>
        <n v="3913" u="1"/>
        <n v="3783" u="1"/>
        <n v="3653" u="1"/>
        <n v="3523" u="1"/>
        <n v="3393" u="1"/>
        <n v="3263" u="1"/>
        <n v="3133" u="1"/>
        <n v="4187" u="1"/>
        <n v="387" u="1"/>
        <n v="3003" u="1"/>
        <n v="2873" u="1"/>
        <n v="2743" u="1"/>
        <n v="2613" u="1"/>
        <n v="4384" u="1"/>
        <n v="4124" u="1"/>
        <n v="3980" u="1"/>
        <n v="978" u="1"/>
        <n v="3850" u="1"/>
        <n v="3720" u="1"/>
        <n v="913" u="1"/>
        <n v="3590" u="1"/>
        <n v="3460" u="1"/>
        <n v="848" u="1"/>
        <n v="3330" u="1"/>
        <n v="3200" u="1"/>
        <n v="4321" u="1"/>
        <n v="783" u="1"/>
        <n v="3070" u="1"/>
        <n v="2940" u="1"/>
        <n v="718" u="1"/>
        <n v="2810" u="1"/>
        <n v="2680" u="1"/>
        <n v="588" u="1"/>
        <n v="523" u="1"/>
        <n v="4047" u="1"/>
        <n v="3917" u="1"/>
        <n v="271900" u="1"/>
        <n v="485" u="1"/>
        <n v="3787" u="1"/>
        <n v="3527" u="1"/>
        <n v="3397" u="1"/>
        <n v="420" u="1"/>
        <n v="3267" u="1"/>
        <n v="3137" u="1"/>
        <n v="3007" u="1"/>
        <n v="2877" u="1"/>
        <n v="355" u="1"/>
        <n v="2747" u="1"/>
        <n v="2617" u="1"/>
        <n v="4392" u="1"/>
        <n v="1064" u="1"/>
        <n v="4132" u="1"/>
        <n v="3984" u="1"/>
        <n v="3854" u="1"/>
        <n v="3724" u="1"/>
        <n v="914" u="1"/>
        <n v="3594" u="1"/>
        <n v="3464" u="1"/>
        <n v="849" u="1"/>
        <n v="4329" u="1"/>
        <n v="784" u="1"/>
        <n v="3074" u="1"/>
        <n v="2944" u="1"/>
        <n v="719" u="1"/>
        <n v="2814" u="1"/>
        <n v="2684" u="1"/>
        <n v="654" u="1"/>
        <n v="589" u="1"/>
        <n v="4266" u="1"/>
        <n v="524" u="1"/>
        <n v="4051" u="1"/>
        <n v="3921" u="1"/>
        <n v="3791" u="1"/>
        <n v="3661" u="1"/>
        <n v="3531" u="1"/>
        <n v="3401" u="1"/>
        <n v="3271" u="1"/>
        <n v="3141" u="1"/>
        <n v="4203" u="1"/>
        <n v="3011" u="1"/>
        <n v="2881" u="1"/>
        <n v="2751" u="1"/>
        <n v="2621" u="1"/>
        <n v="1066" u="1"/>
        <n v="4140" u="1"/>
        <n v="3988" u="1"/>
        <n v="980" u="1"/>
        <n v="3858" u="1"/>
        <n v="3728" u="1"/>
        <n v="915" u="1"/>
        <n v="3598" u="1"/>
        <n v="3468" u="1"/>
        <n v="850" u="1"/>
        <n v="3338" u="1"/>
        <n v="3208" u="1"/>
        <n v="4337" u="1"/>
        <n v="785" u="1"/>
        <n v="2948" u="1"/>
        <n v="720" u="1"/>
        <n v="2818" u="1"/>
        <n v="2688" u="1"/>
        <n v="655" u="1"/>
        <n v="590" u="1"/>
        <n v="4274" u="1"/>
        <n v="525" u="1"/>
        <n v="4055" u="1"/>
        <n v="3925" u="1"/>
        <n v="486" u="1"/>
        <n v="3795" u="1"/>
        <n v="3665" u="1"/>
        <n v="3535" u="1"/>
        <n v="421" u="1"/>
        <n v="3275" u="1"/>
        <n v="3145" u="1"/>
        <n v="4211" u="1"/>
        <n v="3015" u="1"/>
        <n v="2885" u="1"/>
        <n v="356" u="1"/>
        <n v="2755" u="1"/>
        <n v="2625" u="1"/>
        <n v="1068" u="1"/>
        <n v="4148" u="1"/>
        <n v="3992" u="1"/>
        <n v="981" u="1"/>
        <n v="3862" u="1"/>
        <n v="3732" u="1"/>
        <n v="916" u="1"/>
        <n v="3602" u="1"/>
        <n v="3472" u="1"/>
        <n v="851" u="1"/>
        <n v="3342" u="1"/>
        <n v="3212" u="1"/>
        <n v="4345" u="1"/>
        <n v="786" u="1"/>
        <n v="3082" u="1"/>
        <n v="2952" u="1"/>
        <n v="721" u="1"/>
        <n v="2692" u="1"/>
        <n v="656" u="1"/>
        <n v="591" u="1"/>
        <n v="4282" u="1"/>
        <n v="526" u="1"/>
        <n v="4059" u="1"/>
        <n v="3929" u="1"/>
        <n v="3799" u="1"/>
        <n v="3669" u="1"/>
        <n v="454" u="1"/>
        <n v="3539" u="1"/>
        <n v="3409" u="1"/>
        <n v="3279" u="1"/>
        <n v="3149" u="1"/>
        <n v="389" u="1"/>
        <n v="3019" u="1"/>
        <n v="2889" u="1"/>
        <n v="2759" u="1"/>
        <n v="2629" u="1"/>
        <n v="1070" u="1"/>
        <n v="4156" u="1"/>
        <n v="3996" u="1"/>
        <n v="3866" u="1"/>
        <n v="3736" u="1"/>
        <n v="917" u="1"/>
        <n v="3606" u="1"/>
        <n v="3476" u="1"/>
        <n v="852" u="1"/>
        <n v="3346" u="1"/>
        <n v="3216" u="1"/>
        <n v="4353" u="1"/>
        <n v="787" u="1"/>
        <n v="3086" u="1"/>
        <n v="2956" u="1"/>
        <n v="722" u="1"/>
        <n v="2826" u="1"/>
        <n v="2696" u="1"/>
        <n v="592" u="1"/>
        <n v="527" u="1"/>
        <n v="4063" u="1"/>
        <n v="3933" u="1"/>
        <n v="487" u="1"/>
        <n v="3803" u="1"/>
        <n v="3543" u="1"/>
        <n v="3413" u="1"/>
        <n v="3283" u="1"/>
        <n v="3153" u="1"/>
        <n v="4227" u="1"/>
        <n v="3023" u="1"/>
        <n v="2763" u="1"/>
        <n v="2633" u="1"/>
        <n v="1072" u="1"/>
        <n v="4164" u="1"/>
        <n v="4000" u="1"/>
        <n v="983" u="1"/>
        <n v="3740" u="1"/>
        <n v="3610" u="1"/>
        <n v="3480" u="1"/>
        <n v="3350" u="1"/>
        <n v="3220" u="1"/>
        <n v="4361" u="1"/>
        <n v="788" u="1"/>
        <n v="3090" u="1"/>
        <n v="4101" u="1"/>
        <n v="2960" u="1"/>
        <n v="723" u="1"/>
        <n v="2830" u="1"/>
        <n v="2700" u="1"/>
        <n v="4298" u="1"/>
        <n v="528" u="1"/>
        <n v="4067" u="1"/>
        <n v="3937" u="1"/>
        <n v="3807" u="1"/>
        <n v="3677" u="1"/>
        <n v="455" u="1"/>
        <n v="3547" u="1"/>
        <n v="3417" u="1"/>
        <n v="3287" u="1"/>
        <n v="3157" u="1"/>
        <n v="4235" u="1"/>
        <n v="390" u="1"/>
        <n v="3027" u="1"/>
        <n v="2897" u="1"/>
        <n v="2767" u="1"/>
        <n v="2637" u="1"/>
        <n v="1074" u="1"/>
        <n v="4172" u="1"/>
        <n v="4004" u="1"/>
        <n v="984" u="1"/>
        <n v="3874" u="1"/>
        <n v="3744" u="1"/>
        <n v="919" u="1"/>
        <n v="3614" u="1"/>
        <n v="3484" u="1"/>
        <n v="854" u="1"/>
        <n v="3354" u="1"/>
        <n v="3224" u="1"/>
        <n v="4369" u="1"/>
        <n v="789" u="1"/>
        <n v="3094" u="1"/>
        <n v="4109" u="1"/>
        <n v="2964" u="1"/>
        <n v="724" u="1"/>
        <n v="2834" u="1"/>
        <n v="2704" u="1"/>
        <n v="4306" u="1"/>
        <n v="4071" u="1"/>
        <n v="3941" u="1"/>
        <n v="488" u="1"/>
        <n v="3811" u="1"/>
        <n v="3681" u="1"/>
        <n v="3551" u="1"/>
        <n v="3421" u="1"/>
        <n v="423" u="1"/>
        <n v="3291" u="1"/>
        <n v="3161" u="1"/>
        <n v="4243" u="1"/>
        <n v="3031" u="1"/>
        <n v="2901" u="1"/>
        <n v="2771" u="1"/>
        <n v="2641" u="1"/>
        <n v="4180" u="1"/>
        <n v="4008" u="1"/>
        <n v="985" u="1"/>
        <n v="3878" u="1"/>
        <n v="3748" u="1"/>
        <n v="920" u="1"/>
        <n v="3618" u="1"/>
        <n v="3488" u="1"/>
        <n v="855" u="1"/>
        <n v="3358" u="1"/>
        <n v="3228" u="1"/>
        <n v="4377" u="1"/>
        <n v="790" u="1"/>
        <n v="3098" u="1"/>
        <n v="4117" u="1"/>
        <n v="2968" u="1"/>
        <n v="725" u="1"/>
        <n v="2838" u="1"/>
        <n v="2708" u="1"/>
        <n v="2578" u="1"/>
        <n v="595" u="1"/>
        <n v="4314" u="1"/>
        <n v="530" u="1"/>
        <n v="4075" u="1"/>
        <n v="3945" u="1"/>
        <n v="3685" u="1"/>
        <n v="456" u="1"/>
        <n v="3555" u="1"/>
        <n v="3425" u="1"/>
        <n v="3295" u="1"/>
        <n v="3165" u="1"/>
        <n v="391" u="1"/>
        <n v="3035" u="1"/>
        <n v="2905" u="1"/>
        <n v="2775" u="1"/>
        <n v="2645" u="1"/>
        <n v="465589" u="1"/>
        <n v="4188" u="1"/>
        <n v="4012" u="1"/>
        <n v="986" u="1"/>
        <n v="3882" u="1"/>
        <n v="3752" u="1"/>
        <n v="3622" u="1"/>
        <n v="3492" u="1"/>
        <n v="856" u="1"/>
        <n v="3362" u="1"/>
        <n v="3232" u="1"/>
        <n v="4385" u="1"/>
        <n v="791" u="1"/>
        <n v="3102" u="1"/>
        <n v="4125" u="1"/>
        <n v="2972" u="1"/>
        <n v="726" u="1"/>
        <n v="2842" u="1"/>
        <n v="2712" u="1"/>
        <n v="661" u="1"/>
        <n v="596" u="1"/>
        <n v="2322" u="1"/>
        <n v="4322" u="1"/>
        <n v="531" u="1"/>
        <n v="4079" u="1"/>
        <n v="3949" u="1"/>
        <n v="3819" u="1"/>
        <n v="3689" u="1"/>
        <n v="3559" u="1"/>
        <n v="3429" u="1"/>
        <n v="3169" u="1"/>
        <n v="4259" u="1"/>
        <n v="3039" u="1"/>
        <n v="2909" u="1"/>
        <n v="2779" u="1"/>
        <n v="2649" u="1"/>
        <n v="1080" u="1"/>
        <n v="4196" u="1"/>
        <n v="4016" u="1"/>
        <n v="987" u="1"/>
        <n v="3886" u="1"/>
        <n v="3756" u="1"/>
        <n v="922" u="1"/>
        <n v="3626" u="1"/>
        <n v="3496" u="1"/>
        <n v="857" u="1"/>
        <n v="3366" u="1"/>
        <n v="3236" u="1"/>
        <n v="792" u="1"/>
        <n v="3106" u="1"/>
        <n v="4133" u="1"/>
        <n v="2976" u="1"/>
        <n v="727" u="1"/>
        <n v="2846" u="1"/>
        <n v="2716" u="1"/>
        <n v="461062" u="1"/>
        <n v="662" u="1"/>
        <n v="4330" u="1"/>
        <n v="532" u="1"/>
        <n v="4083" u="1"/>
        <n v="3953" u="1"/>
        <n v="3823" u="1"/>
        <n v="3693" u="1"/>
        <n v="3563" u="1"/>
        <n v="3433" u="1"/>
        <n v="3303" u="1"/>
        <n v="3173" u="1"/>
        <n v="4267" u="1"/>
        <n v="392" u="1"/>
        <n v="3043" u="1"/>
        <n v="2913" u="1"/>
        <n v="2783" u="1"/>
        <n v="2653" u="1"/>
        <n v="1082" u="1"/>
        <n v="4204" u="1"/>
        <n v="4020" u="1"/>
        <n v="988" u="1"/>
        <n v="3890" u="1"/>
        <n v="3760" u="1"/>
        <n v="923" u="1"/>
        <n v="3630" u="1"/>
        <n v="858" u="1"/>
        <n v="3370" u="1"/>
        <n v="3240" u="1"/>
        <n v="793" u="1"/>
        <n v="3110" u="1"/>
        <n v="4141" u="1"/>
        <n v="2980" u="1"/>
        <n v="728" u="1"/>
        <n v="2850" u="1"/>
        <n v="2720" u="1"/>
        <n v="663" u="1"/>
        <n v="4338" u="1"/>
        <n v="533" u="1"/>
        <n v="4087" u="1"/>
        <n v="3957" u="1"/>
        <n v="490" u="1"/>
        <n v="3827" u="1"/>
        <n v="3697" u="1"/>
        <n v="3567" u="1"/>
        <n v="3437" u="1"/>
        <n v="425" u="1"/>
        <n v="3307" u="1"/>
        <n v="3177" u="1"/>
        <n v="4275" u="1"/>
        <n v="3047" u="1"/>
        <n v="2917" u="1"/>
        <n v="2787" u="1"/>
        <n v="2657" u="1"/>
        <n v="1084" u="1"/>
        <n v="4212" u="1"/>
        <n v="4024" u="1"/>
        <n v="989" u="1"/>
        <n v="3894" u="1"/>
        <n v="3764" u="1"/>
        <n v="924" u="1"/>
        <n v="3634" u="1"/>
        <n v="3504" u="1"/>
        <n v="859" u="1"/>
        <n v="3374" u="1"/>
        <n v="3244" u="1"/>
        <n v="794" u="1"/>
        <n v="3114" u="1"/>
        <n v="4149" u="1"/>
        <n v="2984" u="1"/>
        <n v="2854" u="1"/>
        <n v="2724" u="1"/>
        <n v="664" u="1"/>
        <n v="2594" u="1"/>
        <n v="599" u="1"/>
        <n v="4346" u="1"/>
        <n v="534" u="1"/>
        <n v="4091" u="1"/>
        <n v="3831" u="1"/>
        <n v="3701" u="1"/>
        <n v="3571" u="1"/>
        <n v="3441" u="1"/>
        <n v="3311" u="1"/>
        <n v="3181" u="1"/>
        <n v="4283" u="1"/>
        <n v="393" u="1"/>
        <n v="3051" u="1"/>
        <n v="2921" u="1"/>
        <n v="2791" u="1"/>
        <n v="2661" u="1"/>
        <n v="1086" u="1"/>
        <n v="990" u="1"/>
        <n v="3768" u="1"/>
        <n v="925" u="1"/>
        <n v="3638" u="1"/>
        <n v="3508" u="1"/>
        <n v="860" u="1"/>
        <n v="3378" u="1"/>
        <n v="3248" u="1"/>
        <n v="795" u="1"/>
        <n v="4157" u="1"/>
        <n v="2988" u="1"/>
        <n v="730" u="1"/>
        <n v="2858" u="1"/>
        <n v="2728" u="1"/>
        <n v="665" u="1"/>
        <n v="2598" u="1"/>
        <n v="4354" u="1"/>
        <n v="535" u="1"/>
        <n v="4095" u="1"/>
        <n v="491" u="1"/>
        <n v="3835" u="1"/>
        <n v="3705" u="1"/>
        <n v="3575" u="1"/>
        <n v="3445" u="1"/>
        <n v="426" u="1"/>
        <n v="3315" u="1"/>
        <n v="3185" u="1"/>
        <n v="4291" u="1"/>
        <n v="3055" u="1"/>
        <n v="2925" u="1"/>
        <n v="2795" u="1"/>
        <n v="1088" u="1"/>
        <n v="4228" u="1"/>
        <n v="4032" u="1"/>
        <n v="991" u="1"/>
        <n v="3902" u="1"/>
        <n v="3772" u="1"/>
        <n v="926" u="1"/>
        <n v="3642" u="1"/>
        <n v="3512" u="1"/>
        <n v="861" u="1"/>
        <n v="3382" u="1"/>
        <n v="3252" u="1"/>
        <n v="796" u="1"/>
        <n v="4165" u="1"/>
        <n v="2992" u="1"/>
        <n v="731" u="1"/>
        <n v="2862" u="1"/>
        <n v="269982" u="1"/>
        <n v="2732" u="1"/>
        <n v="666" u="1"/>
        <n v="2602" u="1"/>
        <n v="601" u="1"/>
        <n v="4362" u="1"/>
        <n v="536" u="1"/>
        <n v="4102" u="1"/>
        <n v="3969" u="1"/>
        <n v="3839" u="1"/>
        <n v="3709" u="1"/>
        <n v="459" u="1"/>
        <n v="3579" u="1"/>
        <n v="3449" u="1"/>
        <n v="3319" u="1"/>
        <n v="3189" u="1"/>
        <n v="394" u="1"/>
        <n v="2929" u="1"/>
        <n v="2799" u="1"/>
        <n v="2669" u="1"/>
        <n v="1090" u="1"/>
        <n v="4236" u="1"/>
        <n v="1025" u="1"/>
        <n v="4036" u="1"/>
        <n v="992" u="1"/>
        <n v="3906" u="1"/>
        <n v="3776" u="1"/>
        <n v="3646" u="1"/>
        <n v="3516" u="1"/>
        <n v="862" u="1"/>
        <n v="3386" u="1"/>
        <n v="3256" u="1"/>
        <n v="797" u="1"/>
        <n v="3126" u="1"/>
        <n v="4173" u="1"/>
        <n v="2996" u="1"/>
        <n v="732" u="1"/>
        <n v="2866" u="1"/>
        <n v="2736" u="1"/>
        <n v="667" u="1"/>
        <n v="602" u="1"/>
        <n v="4370" u="1"/>
        <n v="537" u="1"/>
        <n v="4110" u="1"/>
        <n v="3973" u="1"/>
        <n v="3843" u="1"/>
        <n v="3713" u="1"/>
        <n v="3583" u="1"/>
        <n v="3453" u="1"/>
        <n v="427" u="1"/>
        <n v="3323" u="1"/>
        <n v="4307" u="1"/>
        <n v="3063" u="1"/>
        <n v="2803" u="1"/>
        <n v="2673" u="1"/>
        <n v="1092" u="1"/>
        <n v="4244" u="1"/>
        <n v="1027" u="1"/>
        <n v="4040" u="1"/>
        <n v="993" u="1"/>
        <n v="3910" u="1"/>
        <n v="3780" u="1"/>
        <n v="928" u="1"/>
        <n v="3650" u="1"/>
        <n v="3520" u="1"/>
        <n v="863" u="1"/>
        <n v="3260" u="1"/>
        <n v="3130" u="1"/>
        <n v="4181" u="1"/>
        <n v="3000" u="1"/>
        <n v="733" u="1"/>
        <n v="2870" u="1"/>
        <n v="2740" u="1"/>
        <n v="2610" u="1"/>
        <n v="453545" u="1"/>
        <n v="603" u="1"/>
        <n v="4378" u="1"/>
        <n v="538" u="1"/>
        <n v="4118" u="1"/>
        <n v="3847" u="1"/>
        <n v="3717" u="1"/>
        <n v="460" u="1"/>
        <n v="3587" u="1"/>
        <n v="3457" u="1"/>
        <n v="3327" u="1"/>
        <n v="3197" u="1"/>
        <n v="4315" u="1"/>
        <n v="2937" u="1"/>
        <n v="2807" u="1"/>
        <n v="2677" u="1"/>
        <n v="4252" u="1"/>
        <n v="1029" u="1"/>
        <n v="4044" u="1"/>
        <n v="994" u="1"/>
        <n v="3914" u="1"/>
        <n v="3784" u="1"/>
        <n v="3654" u="1"/>
        <n v="3524" u="1"/>
        <n v="864" u="1"/>
        <n v="3394" u="1"/>
        <n v="3264" u="1"/>
        <n v="799" u="1"/>
        <n v="3134" u="1"/>
        <n v="4189" u="1"/>
        <n v="3004" u="1"/>
        <n v="734" u="1"/>
        <n v="2874" u="1"/>
        <n v="2744" u="1"/>
        <n v="268997" u="1"/>
        <n v="669" u="1"/>
        <n v="2614" u="1"/>
        <n v="604" u="1"/>
        <n v="539" u="1"/>
        <n v="4126" u="1"/>
        <n v="3981" u="1"/>
        <n v="493" u="1"/>
        <n v="3851" u="1"/>
        <n v="3721" u="1"/>
        <n v="3591" u="1"/>
        <n v="3461" u="1"/>
        <n v="3331" u="1"/>
        <n v="3201" u="1"/>
        <n v="4323" u="1"/>
        <n v="3071" u="1"/>
        <n v="2941" u="1"/>
        <n v="2811" u="1"/>
        <n v="2681" u="1"/>
        <n v="1096" u="1"/>
        <n v="4260" u="1"/>
        <n v="1031" u="1"/>
        <n v="4048" u="1"/>
        <n v="995" u="1"/>
        <n v="3918" u="1"/>
        <n v="455575" u="1"/>
        <n v="3788" u="1"/>
        <n v="930" u="1"/>
        <n v="3658" u="1"/>
        <n v="3528" u="1"/>
        <n v="865" u="1"/>
        <n v="3398" u="1"/>
        <n v="3268" u="1"/>
        <n v="800" u="1"/>
        <n v="3138" u="1"/>
        <n v="4197" u="1"/>
        <n v="3008" u="1"/>
        <n v="735" u="1"/>
        <n v="2878" u="1"/>
        <n v="2748" u="1"/>
        <n v="670" u="1"/>
        <n v="2618" u="1"/>
        <n v="605" u="1"/>
        <n v="4394" u="1"/>
        <n v="540" u="1"/>
        <n v="4134" u="1"/>
        <n v="3985" u="1"/>
        <n v="3855" u="1"/>
        <n v="3725" u="1"/>
        <n v="461" u="1"/>
        <n v="3595" u="1"/>
        <n v="3205" u="1"/>
        <n v="4331" u="1"/>
        <n v="396" u="1"/>
        <n v="3075" u="1"/>
        <n v="2945" u="1"/>
        <n v="2815" u="1"/>
        <n v="2685" u="1"/>
        <n v="1098" u="1"/>
        <n v="4268" u="1"/>
        <n v="1033" u="1"/>
        <n v="4052" u="1"/>
        <n v="996" u="1"/>
        <n v="3922" u="1"/>
        <n v="3792" u="1"/>
        <n v="931" u="1"/>
        <n v="3662" u="1"/>
        <n v="3532" u="1"/>
        <n v="866" u="1"/>
        <n v="3402" u="1"/>
        <n v="3272" u="1"/>
        <n v="801" u="1"/>
        <n v="3142" u="1"/>
        <n v="4205" u="1"/>
        <n v="267499" u="1"/>
        <n v="3012" u="1"/>
        <n v="736" u="1"/>
        <n v="2882" u="1"/>
        <n v="2622" u="1"/>
        <n v="606" u="1"/>
        <n v="541" u="1"/>
        <n v="4142" u="1"/>
        <n v="3989" u="1"/>
        <n v="494" u="1"/>
        <n v="3859" u="1"/>
        <n v="3729" u="1"/>
        <n v="3599" u="1"/>
        <n v="3469" u="1"/>
        <n v="429" u="1"/>
        <n v="3339" u="1"/>
        <n v="3209" u="1"/>
        <n v="4339" u="1"/>
        <n v="2949" u="1"/>
        <n v="2819" u="1"/>
        <n v="2689" u="1"/>
        <n v="1100" u="1"/>
        <n v="4276" u="1"/>
        <n v="1035" u="1"/>
        <n v="4056" u="1"/>
        <n v="997" u="1"/>
        <n v="3926" u="1"/>
        <n v="3796" u="1"/>
        <n v="932" u="1"/>
        <n v="3666" u="1"/>
        <n v="3536" u="1"/>
        <n v="867" u="1"/>
        <n v="3406" u="1"/>
        <n v="3276" u="1"/>
        <n v="802" u="1"/>
        <n v="3146" u="1"/>
        <n v="4213" u="1"/>
        <n v="3016" u="1"/>
        <n v="737" u="1"/>
        <n v="2886" u="1"/>
        <n v="2756" u="1"/>
        <n v="672" u="1"/>
        <n v="2626" u="1"/>
        <n v="607" u="1"/>
        <n v="4150" u="1"/>
        <n v="3993" u="1"/>
        <n v="3863" u="1"/>
        <n v="3733" u="1"/>
        <n v="462" u="1"/>
        <n v="3603" u="1"/>
        <n v="3473" u="1"/>
        <n v="3343" u="1"/>
        <n v="3213" u="1"/>
        <n v="4347" u="1"/>
        <n v="397" u="1"/>
        <n v="3083" u="1"/>
        <n v="2823" u="1"/>
        <n v="2693" u="1"/>
        <n v="1102" u="1"/>
        <n v="61022" u="1"/>
        <n v="4060" u="1"/>
        <n v="998" u="1"/>
        <n v="3930" u="1"/>
        <n v="3800" u="1"/>
        <n v="933" u="1"/>
        <n v="3670" u="1"/>
        <n v="3540" u="1"/>
        <n v="42554" u="1"/>
        <n v="868" u="1"/>
        <n v="3410" u="1"/>
        <n v="3280" u="1"/>
        <n v="803" u="1"/>
        <n v="3150" u="1"/>
        <n v="4221" u="1"/>
        <n v="3020" u="1"/>
        <n v="738" u="1"/>
        <n v="2890" u="1"/>
        <n v="2760" u="1"/>
        <n v="673" u="1"/>
        <n v="2630" u="1"/>
        <n v="608" u="1"/>
        <n v="4158" u="1"/>
        <n v="3997" u="1"/>
        <n v="495" u="1"/>
        <n v="3867" u="1"/>
        <n v="3737" u="1"/>
        <n v="3607" u="1"/>
        <n v="3477" u="1"/>
        <n v="430" u="1"/>
        <n v="3347" u="1"/>
        <n v="3217" u="1"/>
        <n v="4355" u="1"/>
        <n v="3087" u="1"/>
        <n v="2957" u="1"/>
        <n v="2827" u="1"/>
        <n v="2697" u="1"/>
        <n v="1104" u="1"/>
        <n v="4292" u="1"/>
        <n v="4064" u="1"/>
        <n v="61023" u="1"/>
        <n v="999" u="1"/>
        <n v="3934" u="1"/>
        <n v="3804" u="1"/>
        <n v="934" u="1"/>
        <n v="3544" u="1"/>
        <n v="869" u="1"/>
        <n v="3414" u="1"/>
        <n v="3284" u="1"/>
        <n v="804" u="1"/>
        <n v="3154" u="1"/>
        <n v="4229" u="1"/>
        <n v="3024" u="1"/>
        <n v="739" u="1"/>
        <n v="2894" u="1"/>
        <n v="2764" u="1"/>
        <n v="674" u="1"/>
        <n v="2634" u="1"/>
        <n v="609" u="1"/>
        <n v="4166" u="1"/>
        <n v="4001" u="1"/>
        <n v="3871" u="1"/>
        <n v="3741" u="1"/>
        <n v="463" u="1"/>
        <n v="3611" u="1"/>
        <n v="3481" u="1"/>
        <n v="3351" u="1"/>
        <n v="3221" u="1"/>
        <n v="4363" u="1"/>
        <n v="398" u="1"/>
        <n v="4103" u="1"/>
        <n v="2831" u="1"/>
        <n v="2701" u="1"/>
        <n v="2571" u="1"/>
        <n v="1106" u="1"/>
        <n v="4300" u="1"/>
        <n v="4068" u="1"/>
        <n v="1000" u="1"/>
        <n v="3938" u="1"/>
        <n v="61024" u="1"/>
        <n v="3808" u="1"/>
        <n v="935" u="1"/>
        <n v="3678" u="1"/>
        <n v="3548" u="1"/>
        <n v="870" u="1"/>
        <n v="3418" u="1"/>
        <n v="3288" u="1"/>
        <n v="805" u="1"/>
        <n v="3158" u="1"/>
        <n v="4237" u="1"/>
        <n v="3028" u="1"/>
        <n v="740" u="1"/>
        <n v="2898" u="1"/>
        <n v="2768" u="1"/>
        <n v="675" u="1"/>
        <n v="2638" u="1"/>
        <n v="4174" u="1"/>
        <n v="4005" u="1"/>
        <n v="3875" u="1"/>
        <n v="3615" u="1"/>
        <n v="431" u="1"/>
        <n v="3355" u="1"/>
        <n v="4371" u="1"/>
        <n v="3095" u="1"/>
        <n v="2965" u="1"/>
        <n v="2835" u="1"/>
        <n v="2705" u="1"/>
        <n v="1108" u="1"/>
        <n v="4308" u="1"/>
        <n v="1043" u="1"/>
        <n v="4072" u="1"/>
        <n v="1001" u="1"/>
        <n v="3942" u="1"/>
        <n v="3812" u="1"/>
        <n v="936" u="1"/>
        <n v="3682" u="1"/>
        <n v="3552" u="1"/>
        <n v="3422" u="1"/>
        <n v="3292" u="1"/>
        <n v="806" u="1"/>
        <n v="3162" u="1"/>
        <n v="4245" u="1"/>
        <n v="3032" u="1"/>
        <n v="741" u="1"/>
        <n v="2902" u="1"/>
        <n v="2772" u="1"/>
        <n v="676" u="1"/>
        <n v="2642" u="1"/>
        <n v="2512" u="1"/>
        <n v="611" u="1"/>
        <n v="4182" u="1"/>
        <n v="4009" u="1"/>
        <n v="3879" u="1"/>
        <n v="3749" u="1"/>
        <n v="464" u="1"/>
        <n v="3619" u="1"/>
        <n v="3489" u="1"/>
        <n v="3359" u="1"/>
        <n v="3229" u="1"/>
        <n v="399" u="1"/>
        <n v="3099" u="1"/>
        <n v="4119" u="1"/>
        <n v="2969" u="1"/>
        <n v="2839" u="1"/>
        <n v="4316" u="1"/>
        <n v="1045" u="1"/>
        <n v="4076" u="1"/>
        <n v="1002" u="1"/>
        <n v="3946" u="1"/>
        <n v="937" u="1"/>
        <n v="3686" u="1"/>
        <n v="3556" u="1"/>
        <n v="872" u="1"/>
        <n v="3426" u="1"/>
        <n v="468741" u="1"/>
        <n v="807" u="1"/>
        <n v="3166" u="1"/>
        <n v="4253" u="1"/>
        <n v="3036" u="1"/>
        <n v="742" u="1"/>
        <n v="2906" u="1"/>
        <n v="2776" u="1"/>
        <n v="677" u="1"/>
        <n v="2646" u="1"/>
        <n v="612" u="1"/>
        <n v="547" u="1"/>
        <n v="4190" u="1"/>
        <n v="4013" u="1"/>
        <n v="497" u="1"/>
        <n v="3883" u="1"/>
        <n v="3623" u="1"/>
        <n v="3493" u="1"/>
        <n v="432" u="1"/>
        <n v="3363" u="1"/>
        <n v="3233" u="1"/>
        <n v="3103" u="1"/>
        <n v="4127" u="1"/>
        <n v="2843" u="1"/>
        <n v="2713" u="1"/>
        <n v="4324" u="1"/>
        <n v="1047" u="1"/>
        <n v="4080" u="1"/>
        <n v="1003" u="1"/>
        <n v="3950" u="1"/>
        <n v="3820" u="1"/>
        <n v="938" u="1"/>
        <n v="3560" u="1"/>
        <n v="873" u="1"/>
        <n v="3430" u="1"/>
        <n v="3300" u="1"/>
        <n v="808" u="1"/>
        <n v="3170" u="1"/>
        <n v="4261" u="1"/>
        <n v="3040" u="1"/>
        <n v="743" u="1"/>
        <n v="2910" u="1"/>
        <n v="2780" u="1"/>
        <n v="678" u="1"/>
        <n v="2650" u="1"/>
        <n v="613" u="1"/>
        <n v="548" u="1"/>
        <n v="4198" u="1"/>
        <n v="4017" u="1"/>
        <n v="3887" u="1"/>
        <n v="3757" u="1"/>
        <n v="465" u="1"/>
        <n v="3627" u="1"/>
        <n v="3497" u="1"/>
        <n v="3367" u="1"/>
        <n v="3237" u="1"/>
        <n v="4395" u="1"/>
        <n v="400" u="1"/>
        <n v="3107" u="1"/>
        <n v="4135" u="1"/>
        <n v="2977" u="1"/>
        <n v="2847" u="1"/>
        <n v="2717" u="1"/>
        <n v="2587" u="1"/>
        <n v="4332" u="1"/>
        <n v="1049" u="1"/>
        <n v="4084" u="1"/>
        <n v="1004" u="1"/>
        <n v="3954" u="1"/>
        <n v="3824" u="1"/>
        <n v="939" u="1"/>
        <n v="3694" u="1"/>
        <n v="3564" u="1"/>
        <n v="874" u="1"/>
        <n v="3434" u="1"/>
        <n v="3304" u="1"/>
        <n v="809" u="1"/>
        <n v="3174" u="1"/>
        <n v="4269" u="1"/>
        <n v="3044" u="1"/>
        <n v="744" u="1"/>
        <n v="2914" u="1"/>
        <n v="2784" u="1"/>
        <n v="679" u="1"/>
        <n v="2654" u="1"/>
        <n v="614" u="1"/>
        <n v="549" u="1"/>
        <n v="4206" u="1"/>
        <n v="4021" u="1"/>
        <n v="498" u="1"/>
        <n v="3891" u="1"/>
        <n v="3761" u="1"/>
        <n v="3501" u="1"/>
        <n v="433" u="1"/>
        <n v="3371" u="1"/>
        <n v="3241" u="1"/>
        <n v="3111" u="1"/>
        <n v="4143" u="1"/>
        <n v="2981" u="1"/>
        <n v="2851" u="1"/>
        <n v="2721" u="1"/>
        <n v="4340" u="1"/>
        <n v="1051" u="1"/>
        <n v="4088" u="1"/>
        <n v="1005" u="1"/>
        <n v="3958" u="1"/>
        <n v="940" u="1"/>
        <n v="3698" u="1"/>
        <n v="3568" u="1"/>
        <n v="875" u="1"/>
        <n v="3438" u="1"/>
        <n v="3308" u="1"/>
        <n v="810" u="1"/>
        <n v="3178" u="1"/>
        <n v="4277" u="1"/>
        <n v="3048" u="1"/>
        <n v="745" u="1"/>
        <n v="2918" u="1"/>
        <n v="2788" u="1"/>
        <n v="680" u="1"/>
        <n v="2658" u="1"/>
        <n v="615" u="1"/>
        <n v="550" u="1"/>
        <n v="4214" u="1"/>
        <n v="3765" u="1"/>
        <n v="466" u="1"/>
        <n v="3635" u="1"/>
        <n v="3505" u="1"/>
        <n v="3375" u="1"/>
        <n v="401" u="1"/>
        <n v="3115" u="1"/>
        <n v="4151" u="1"/>
        <n v="2985" u="1"/>
        <n v="2855" u="1"/>
        <n v="2725" u="1"/>
        <n v="2595" u="1"/>
        <n v="1053" u="1"/>
        <n v="4092" u="1"/>
        <n v="1006" u="1"/>
        <n v="3962" u="1"/>
        <n v="3832" u="1"/>
        <n v="941" u="1"/>
        <n v="3702" u="1"/>
        <n v="3572" u="1"/>
        <n v="876" u="1"/>
        <n v="3442" u="1"/>
        <n v="3312" u="1"/>
        <n v="811" u="1"/>
        <n v="3052" u="1"/>
        <n v="746" u="1"/>
        <n v="2922" u="1"/>
        <n v="2792" u="1"/>
        <n v="681" u="1"/>
        <n v="2662" u="1"/>
        <n v="616" u="1"/>
        <n v="551" u="1"/>
        <n v="4222" u="1"/>
        <n v="4029" u="1"/>
        <n v="499" u="1"/>
        <n v="3899" u="1"/>
        <n v="3769" u="1"/>
        <n v="3639" u="1"/>
        <n v="3509" u="1"/>
        <n v="434" u="1"/>
        <n v="3379" u="1"/>
        <n v="3249" u="1"/>
        <n v="3119" u="1"/>
        <n v="4159" u="1"/>
        <n v="2989" u="1"/>
        <n v="369" u="1"/>
        <n v="2859" u="1"/>
        <n v="2729" u="1"/>
        <n v="2599" u="1"/>
        <n v="4356" u="1"/>
        <n v="1055" u="1"/>
        <n v="4096" u="1"/>
        <n v="1007" u="1"/>
        <n v="3966" u="1"/>
        <n v="3836" u="1"/>
        <n v="942" u="1"/>
        <n v="3706" u="1"/>
        <n v="3576" u="1"/>
        <n v="877" u="1"/>
        <n v="3446" u="1"/>
        <n v="3316" u="1"/>
        <n v="812" u="1"/>
        <n v="3186" u="1"/>
        <n v="4293" u="1"/>
        <n v="3056" u="1"/>
        <n v="2926" u="1"/>
        <n v="2796" u="1"/>
        <n v="682" u="1"/>
        <n v="2666" u="1"/>
        <n v="617" u="1"/>
        <n v="4230" u="1"/>
        <n v="4033" u="1"/>
        <n v="3903" u="1"/>
        <n v="3773" u="1"/>
        <n v="467" u="1"/>
        <n v="3643" u="1"/>
        <n v="3513" u="1"/>
        <n v="3383" u="1"/>
        <n v="3253" u="1"/>
        <n v="402" u="1"/>
        <n v="3123" u="1"/>
        <n v="4167" u="1"/>
        <n v="2863" u="1"/>
        <n v="2733" u="1"/>
        <n v="2603" u="1"/>
        <n v="4364" u="1"/>
        <n v="1057" u="1"/>
        <n v="4104" u="1"/>
        <n v="3970" u="1"/>
        <n v="3840" u="1"/>
        <n v="943" u="1"/>
        <n v="3580" u="1"/>
        <n v="878" u="1"/>
        <n v="3450" u="1"/>
        <n v="3320" u="1"/>
        <n v="813" u="1"/>
        <n v="3190" u="1"/>
        <n v="4301" u="1"/>
        <n v="2930" u="1"/>
        <n v="2800" u="1"/>
        <n v="683" u="1"/>
        <n v="2670" u="1"/>
        <n v="618" u="1"/>
        <n v="553" u="1"/>
        <n v="4238" u="1"/>
        <n v="4037" u="1"/>
        <n v="500" u="1"/>
        <n v="3907" u="1"/>
        <n v="3777" u="1"/>
        <n v="3647" u="1"/>
        <n v="3517" u="1"/>
        <n v="435" u="1"/>
        <n v="3387" u="1"/>
        <n v="3257" u="1"/>
        <n v="3127" u="1"/>
        <n v="4175" u="1"/>
        <n v="2997" u="1"/>
        <n v="2867" u="1"/>
        <n v="2737" u="1"/>
        <n v="2607" u="1"/>
        <n v="4372" u="1"/>
        <n v="1059" u="1"/>
        <n v="4112" u="1"/>
        <n v="3974" u="1"/>
        <n v="3844" u="1"/>
        <n v="944" u="1"/>
        <n v="3714" u="1"/>
        <n v="3584" u="1"/>
        <n v="879" u="1"/>
        <n v="3454" u="1"/>
        <n v="3324" u="1"/>
        <n v="814" u="1"/>
        <n v="4309" u="1"/>
        <n v="3064" u="1"/>
        <n v="749" u="1"/>
        <n v="2934" u="1"/>
        <n v="2674" u="1"/>
        <n v="2544" u="1"/>
        <n v="619" u="1"/>
        <n v="554" u="1"/>
        <n v="4246" u="1"/>
        <n v="4041" u="1"/>
        <n v="3911" u="1"/>
        <n v="3651" u="1"/>
        <n v="3521" u="1"/>
        <n v="3391" u="1"/>
        <n v="3261" u="1"/>
        <n v="403" u="1"/>
        <n v="3131" u="1"/>
        <n v="4183" u="1"/>
        <n v="2871" u="1"/>
        <n v="2741" u="1"/>
        <n v="2611" u="1"/>
        <n v="4380" u="1"/>
        <n v="1061" u="1"/>
        <n v="4120" u="1"/>
        <n v="1010" u="1"/>
        <n v="3978" u="1"/>
        <n v="3848" u="1"/>
        <n v="945" u="1"/>
        <n v="3718" u="1"/>
        <n v="3588" u="1"/>
        <n v="3458" u="1"/>
        <n v="3328" u="1"/>
        <n v="815" u="1"/>
        <n v="3198" u="1"/>
        <n v="4317" u="1"/>
        <n v="3068" u="1"/>
        <n v="750" u="1"/>
        <n v="2938" u="1"/>
        <n v="463257" u="1"/>
        <n v="2808" u="1"/>
        <n v="685" u="1"/>
        <n v="2678" u="1"/>
        <n v="620" u="1"/>
        <n v="555" u="1"/>
        <n v="4254" u="1"/>
        <n v="4045" u="1"/>
        <n v="501" u="1"/>
        <n v="3915" u="1"/>
        <n v="3785" u="1"/>
        <n v="3655" u="1"/>
        <n v="3525" u="1"/>
        <n v="436" u="1"/>
        <n v="3395" u="1"/>
        <n v="3265" u="1"/>
        <n v="3135" u="1"/>
        <n v="4191" u="1"/>
        <n v="371" u="1"/>
        <n v="2875" u="1"/>
        <n v="2745" u="1"/>
        <n v="2615" u="1"/>
        <n v="4388" u="1"/>
        <n v="4128" u="1"/>
        <n v="3982" u="1"/>
        <n v="3852" u="1"/>
        <n v="946" u="1"/>
        <n v="3722" u="1"/>
        <n v="3592" u="1"/>
        <n v="3462" u="1"/>
        <n v="3332" u="1"/>
        <n v="816" u="1"/>
        <n v="3202" u="1"/>
        <n v="4325" u="1"/>
        <n v="3072" u="1"/>
        <n v="751" u="1"/>
        <n v="2942" u="1"/>
        <n v="2812" u="1"/>
        <n v="686" u="1"/>
        <n v="2682" u="1"/>
        <n v="556" u="1"/>
        <n v="4262" u="1"/>
        <n v="4049" u="1"/>
        <n v="3919" u="1"/>
        <n v="3789" u="1"/>
        <n v="469" u="1"/>
        <n v="3659" u="1"/>
        <n v="3529" u="1"/>
        <n v="3399" u="1"/>
        <n v="3269" u="1"/>
        <n v="3139" u="1"/>
        <n v="4199" u="1"/>
        <n v="3009" u="1"/>
        <n v="2879" u="1"/>
        <n v="2749" u="1"/>
        <n v="2619" u="1"/>
        <n v="1065" u="1"/>
        <n v="4136" u="1"/>
        <n v="1012" u="1"/>
        <n v="3986" u="1"/>
        <n v="3856" u="1"/>
        <n v="947" u="1"/>
        <n v="3726" u="1"/>
        <n v="3596" u="1"/>
        <n v="882" u="1"/>
        <n v="3466" u="1"/>
        <n v="817" u="1"/>
        <n v="4333" u="1"/>
        <n v="3076" u="1"/>
        <n v="752" u="1"/>
        <n v="2946" u="1"/>
        <n v="2816" u="1"/>
        <n v="687" u="1"/>
        <n v="2686" u="1"/>
        <n v="2556" u="1"/>
        <n v="4270" u="1"/>
        <n v="4053" u="1"/>
        <n v="502" u="1"/>
        <n v="3923" u="1"/>
        <n v="3793" u="1"/>
        <n v="3663" u="1"/>
        <n v="3533" u="1"/>
        <n v="456720" u="1"/>
        <n v="437" u="1"/>
        <n v="3403" u="1"/>
        <n v="3273" u="1"/>
        <n v="3143" u="1"/>
        <n v="4207" u="1"/>
        <n v="372" u="1"/>
        <n v="2883" u="1"/>
        <n v="2753" u="1"/>
        <n v="2623" u="1"/>
        <n v="1067" u="1"/>
        <n v="4144" u="1"/>
        <n v="3990" u="1"/>
        <n v="3860" u="1"/>
        <n v="948" u="1"/>
        <n v="3730" u="1"/>
        <n v="3600" u="1"/>
        <n v="883" u="1"/>
        <n v="3470" u="1"/>
        <n v="3340" u="1"/>
        <n v="818" u="1"/>
        <n v="3210" u="1"/>
        <n v="4341" u="1"/>
        <n v="753" u="1"/>
        <n v="2950" u="1"/>
        <n v="2820" u="1"/>
        <n v="688" u="1"/>
        <n v="2690" u="1"/>
        <n v="623" u="1"/>
        <n v="4278" u="1"/>
        <n v="4057" u="1"/>
        <n v="3927" u="1"/>
        <n v="3797" u="1"/>
        <n v="3667" u="1"/>
        <n v="3537" u="1"/>
        <n v="3407" u="1"/>
        <n v="3277" u="1"/>
        <n v="3147" u="1"/>
        <n v="4215" u="1"/>
        <n v="3017" u="1"/>
        <n v="2887" u="1"/>
        <n v="2757" u="1"/>
        <n v="2627" u="1"/>
        <n v="1069" u="1"/>
        <n v="4152" u="1"/>
        <n v="1014" u="1"/>
        <n v="3994" u="1"/>
        <n v="3864" u="1"/>
        <n v="3734" u="1"/>
        <n v="3604" u="1"/>
        <n v="884" u="1"/>
        <n v="3474" u="1"/>
        <n v="3344" u="1"/>
        <n v="819" u="1"/>
        <n v="3214" u="1"/>
        <n v="4349" u="1"/>
        <n v="3084" u="1"/>
        <n v="754" u="1"/>
        <n v="2954" u="1"/>
        <n v="2824" u="1"/>
        <n v="689" u="1"/>
        <n v="2694" u="1"/>
        <n v="624" u="1"/>
        <n v="559" u="1"/>
        <n v="4061" u="1"/>
        <n v="503" u="1"/>
        <n v="3931" u="1"/>
        <n v="3801" u="1"/>
        <n v="3671" u="1"/>
        <n v="3411" u="1"/>
        <n v="3281" u="1"/>
        <n v="3151" u="1"/>
        <n v="4223" u="1"/>
        <n v="3021" u="1"/>
        <n v="457745" u="1"/>
        <n v="2891" u="1"/>
        <n v="2761" u="1"/>
        <n v="2631" u="1"/>
        <n v="1071" u="1"/>
        <n v="4160" u="1"/>
        <n v="1015" u="1"/>
        <n v="3998" u="1"/>
        <n v="3868" u="1"/>
        <n v="950" u="1"/>
        <n v="3738" u="1"/>
        <n v="3608" u="1"/>
        <n v="885" u="1"/>
        <n v="3478" u="1"/>
        <n v="3348" u="1"/>
        <n v="820" u="1"/>
        <n v="3218" u="1"/>
        <n v="4357" u="1"/>
        <n v="3088" u="1"/>
        <n v="4097" u="1"/>
        <n v="755" u="1"/>
        <n v="2958" u="1"/>
        <n v="2828" u="1"/>
        <n v="690" u="1"/>
        <n v="2698" u="1"/>
        <n v="625" u="1"/>
        <n v="560" u="1"/>
        <n v="4294" u="1"/>
        <n v="3935" u="1"/>
        <n v="3805" u="1"/>
        <n v="471" u="1"/>
        <n v="3675" u="1"/>
        <n v="3545" u="1"/>
        <n v="3415" u="1"/>
        <n v="3285" u="1"/>
        <n v="406" u="1"/>
        <n v="3155" u="1"/>
        <n v="4231" u="1"/>
        <n v="3025" u="1"/>
        <n v="2895" u="1"/>
        <n v="2765" u="1"/>
        <n v="2635" u="1"/>
        <n v="1073" u="1"/>
        <n v="4168" u="1"/>
        <n v="4002" u="1"/>
        <n v="3872" u="1"/>
        <n v="951" u="1"/>
        <n v="3742" u="1"/>
        <n v="3612" u="1"/>
        <n v="886" u="1"/>
        <n v="3482" u="1"/>
        <n v="3352" u="1"/>
        <n v="821" u="1"/>
        <n v="4365" u="1"/>
        <n v="3092" u="1"/>
        <n v="4105" u="1"/>
        <n v="756" u="1"/>
        <n v="2832" u="1"/>
        <n v="691" u="1"/>
        <n v="2702" u="1"/>
        <n v="626" u="1"/>
        <n v="561" u="1"/>
        <n v="4302" u="1"/>
        <n v="4069" u="1"/>
        <n v="504" u="1"/>
        <n v="3939" u="1"/>
        <n v="3809" u="1"/>
        <n v="3679" u="1"/>
        <n v="3549" u="1"/>
        <n v="439" u="1"/>
        <n v="3419" u="1"/>
        <n v="3289" u="1"/>
        <n v="3159" u="1"/>
        <n v="4239" u="1"/>
        <n v="3029" u="1"/>
        <n v="374" u="1"/>
        <n v="2899" u="1"/>
        <n v="2769" u="1"/>
        <n v="2639" u="1"/>
        <n v="1075" u="1"/>
        <n v="4176" u="1"/>
        <n v="1017" u="1"/>
        <n v="4006" u="1"/>
        <n v="3876" u="1"/>
        <n v="952" u="1"/>
        <n v="3616" u="1"/>
        <n v="887" u="1"/>
        <n v="3486" u="1"/>
        <n v="3356" u="1"/>
        <n v="822" u="1"/>
        <n v="3226" u="1"/>
        <n v="4373" u="1"/>
        <n v="3096" u="1"/>
        <n v="4113" u="1"/>
        <n v="757" u="1"/>
        <n v="2836" u="1"/>
        <n v="692" u="1"/>
        <n v="2706" u="1"/>
        <n v="627" u="1"/>
        <n v="562" u="1"/>
        <n v="4073" u="1"/>
        <n v="3943" u="1"/>
        <n v="3813" u="1"/>
        <n v="472" u="1"/>
        <n v="3683" u="1"/>
        <n v="3423" u="1"/>
        <n v="407" u="1"/>
        <n v="3163" u="1"/>
        <n v="4247" u="1"/>
        <n v="3033" u="1"/>
        <n v="2903" u="1"/>
        <n v="2773" u="1"/>
        <n v="2643" u="1"/>
        <n v="4184" u="1"/>
        <n v="1018" u="1"/>
        <n v="4010" u="1"/>
        <n v="953" u="1"/>
        <n v="3750" u="1"/>
        <n v="3620" u="1"/>
        <n v="3360" u="1"/>
        <n v="823" u="1"/>
        <n v="3230" u="1"/>
        <n v="4381" u="1"/>
        <n v="3100" u="1"/>
        <n v="4121" u="1"/>
        <n v="758" u="1"/>
        <n v="2970" u="1"/>
        <n v="2840" u="1"/>
        <n v="693" u="1"/>
        <n v="2710" u="1"/>
        <n v="628" u="1"/>
        <n v="563" u="1"/>
        <n v="4318" u="1"/>
        <n v="4077" u="1"/>
        <n v="505" u="1"/>
        <n v="3947" u="1"/>
        <n v="3817" u="1"/>
        <n v="3687" u="1"/>
        <n v="3557" u="1"/>
        <n v="440" u="1"/>
        <n v="3427" u="1"/>
        <n v="3167" u="1"/>
        <n v="4255" u="1"/>
        <n v="3037" u="1"/>
        <n v="375" u="1"/>
        <n v="2907" u="1"/>
        <n v="2777" u="1"/>
        <n v="2647" u="1"/>
        <n v="4192" u="1"/>
        <n v="4014" u="1"/>
        <n v="3884" u="1"/>
        <n v="954" u="1"/>
        <n v="3754" u="1"/>
        <n v="3624" u="1"/>
        <n v="889" u="1"/>
        <n v="3494" u="1"/>
        <n v="3364" u="1"/>
        <n v="824" u="1"/>
        <n v="3234" u="1"/>
        <n v="4389" u="1"/>
        <n v="3104" u="1"/>
        <n v="4129" u="1"/>
        <n v="2974" u="1"/>
        <n v="2844" u="1"/>
        <n v="694" u="1"/>
        <n v="2714" u="1"/>
        <n v="2584" u="1"/>
        <n v="629" u="1"/>
        <n v="564" u="1"/>
        <n v="4326" u="1"/>
        <n v="4081" u="1"/>
        <n v="3951" u="1"/>
        <n v="3821" u="1"/>
        <n v="473" u="1"/>
        <n v="3691" u="1"/>
        <n v="3561" u="1"/>
        <n v="3431" u="1"/>
        <n v="3301" u="1"/>
        <n v="408" u="1"/>
        <n v="3171" u="1"/>
        <n v="4263" u="1"/>
        <n v="3041" u="1"/>
        <n v="2911" u="1"/>
        <n v="2781" u="1"/>
        <n v="2651" u="1"/>
        <n v="1081" u="1"/>
        <n v="4200" u="1"/>
        <n v="1020" u="1"/>
        <n v="4018" u="1"/>
        <n v="3888" u="1"/>
        <n v="955" u="1"/>
        <n v="3758" u="1"/>
        <n v="3628" u="1"/>
        <n v="890" u="1"/>
        <n v="3498" u="1"/>
        <n v="3368" u="1"/>
        <n v="825" u="1"/>
        <n v="3238" u="1"/>
        <n v="4397" u="1"/>
        <n v="3108" u="1"/>
        <n v="4137" u="1"/>
        <n v="760" u="1"/>
        <n v="2978" u="1"/>
        <n v="2848" u="1"/>
        <n v="695" u="1"/>
        <n v="2718" u="1"/>
        <n v="630" u="1"/>
        <n v="565" u="1"/>
        <n v="4334" u="1"/>
        <n v="4085" u="1"/>
        <n v="506" u="1"/>
        <n v="3955" u="1"/>
        <n v="3695" u="1"/>
        <n v="441" u="1"/>
        <n v="3435" u="1"/>
        <n v="3175" u="1"/>
        <n v="4271" u="1"/>
        <n v="376" u="1"/>
        <n v="2915" u="1"/>
        <n v="2785" u="1"/>
        <n v="4208" u="1"/>
        <n v="4022" u="1"/>
        <n v="3892" u="1"/>
        <n v="956" u="1"/>
        <n v="3762" u="1"/>
        <n v="3632" u="1"/>
        <n v="891" u="1"/>
        <n v="3502" u="1"/>
        <n v="3372" u="1"/>
        <n v="826" u="1"/>
        <n v="3242" u="1"/>
        <n v="4145" u="1"/>
        <n v="761" u="1"/>
        <n v="2982" u="1"/>
        <n v="2852" u="1"/>
        <n v="696" u="1"/>
        <n v="2722" u="1"/>
        <n v="631" u="1"/>
        <n v="566" u="1"/>
        <n v="4342" u="1"/>
        <n v="457797" u="1"/>
        <n v="4089" u="1"/>
        <n v="3959" u="1"/>
        <n v="474" u="1"/>
        <n v="3699" u="1"/>
        <n v="3569" u="1"/>
        <n v="3439" u="1"/>
        <n v="3309" u="1"/>
        <n v="3179" u="1"/>
        <n v="4279" u="1"/>
        <n v="3049" u="1"/>
        <n v="2919" u="1"/>
        <n v="2789" u="1"/>
        <n v="2659" u="1"/>
        <n v="1085" u="1"/>
        <n v="4216" u="1"/>
        <n v="1022" u="1"/>
        <n v="3896" u="1"/>
        <n v="957" u="1"/>
        <n v="3766" u="1"/>
        <n v="3636" u="1"/>
        <n v="892" u="1"/>
        <n v="3506" u="1"/>
        <n v="3376" u="1"/>
        <n v="827" u="1"/>
        <n v="3246" u="1"/>
        <n v="3116" u="1"/>
        <n v="4153" u="1"/>
        <n v="762" u="1"/>
        <n v="2986" u="1"/>
        <n v="2856" u="1"/>
        <n v="697" u="1"/>
        <n v="2726" u="1"/>
        <n v="567" u="1"/>
        <n v="4093" u="1"/>
        <n v="266190" u="1"/>
        <n v="3963" u="1"/>
        <n v="3833" u="1"/>
        <n v="3703" u="1"/>
        <n v="3573" u="1"/>
        <n v="442" u="1"/>
        <n v="3443" u="1"/>
        <n v="3313" u="1"/>
        <n v="3183" u="1"/>
        <n v="4287" u="1"/>
        <n v="3053" u="1"/>
        <n v="377" u="1"/>
        <n v="2923" u="1"/>
        <n v="2793" u="1"/>
        <n v="2663" u="1"/>
        <n v="1087" u="1"/>
        <n v="4224" u="1"/>
        <n v="4030" u="1"/>
        <n v="3900" u="1"/>
        <n v="958" u="1"/>
        <n v="3770" u="1"/>
        <n v="3640" u="1"/>
        <n v="893" u="1"/>
        <n v="3510" u="1"/>
        <n v="3380" u="1"/>
        <n v="828" u="1"/>
        <n v="3120" u="1"/>
        <n v="4161" u="1"/>
        <n v="763" u="1"/>
        <n v="2990" u="1"/>
        <n v="2860" u="1"/>
        <n v="698" u="1"/>
        <n v="2730" u="1"/>
        <n v="2600" u="1"/>
        <n v="568" u="1"/>
        <n v="4358" u="1"/>
        <n v="4098" u="1"/>
        <n v="3967" u="1"/>
        <n v="3837" u="1"/>
        <n v="475" u="1"/>
        <n v="3707" u="1"/>
        <n v="3447" u="1"/>
        <n v="3317" u="1"/>
        <n v="410" u="1"/>
        <n v="3187" u="1"/>
        <n v="4295" u="1"/>
        <n v="3057" u="1"/>
        <n v="2927" u="1"/>
        <n v="2797" u="1"/>
        <n v="2667" u="1"/>
        <n v="1089" u="1"/>
        <n v="4232" u="1"/>
        <n v="1024" u="1"/>
        <n v="4034" u="1"/>
        <n v="3904" u="1"/>
        <n v="959" u="1"/>
        <n v="3774" u="1"/>
        <n v="3644" u="1"/>
        <n v="3514" u="1"/>
        <n v="3384" u="1"/>
        <n v="829" u="1"/>
        <n v="3254" u="1"/>
        <n v="3124" u="1"/>
        <n v="4169" u="1"/>
        <n v="764" u="1"/>
        <n v="2994" u="1"/>
        <n v="2864" u="1"/>
        <n v="699" u="1"/>
        <n v="2734" u="1"/>
        <n v="2604" u="1"/>
        <n v="4366" u="1"/>
        <n v="4106" u="1"/>
        <n v="508" u="1"/>
        <n v="3971" u="1"/>
        <n v="3841" u="1"/>
        <n v="3581" u="1"/>
        <n v="443" u="1"/>
        <n v="3451" u="1"/>
        <n v="3321" u="1"/>
        <n v="3191" u="1"/>
        <n v="4303" u="1"/>
        <n v="3061" u="1"/>
        <n v="378" u="1"/>
        <n v="2931" u="1"/>
        <n v="2801" u="1"/>
        <n v="2671" u="1"/>
        <n v="1091" u="1"/>
        <n v="4240" u="1"/>
        <n v="1026" u="1"/>
        <n v="4038" u="1"/>
        <n v="3908" u="1"/>
        <n v="960" u="1"/>
        <n v="3778" u="1"/>
        <n v="3648" u="1"/>
        <n v="895" u="1"/>
        <n v="3518" u="1"/>
        <n v="3388" u="1"/>
        <n v="830" u="1"/>
        <n v="3258" u="1"/>
        <n v="3128" u="1"/>
        <n v="4177" u="1"/>
        <n v="765" u="1"/>
        <n v="2998" u="1"/>
        <n v="2868" u="1"/>
        <n v="700" u="1"/>
        <n v="2738" u="1"/>
        <n v="2608" u="1"/>
        <n v="4374" u="1"/>
        <n v="4114" u="1"/>
        <n v="3975" u="1"/>
        <n v="3845" u="1"/>
        <n v="476" u="1"/>
        <n v="3715" u="1"/>
        <n v="3585" u="1"/>
        <n v="3455" u="1"/>
        <n v="3325" u="1"/>
        <n v="411" u="1"/>
        <n v="3195" u="1"/>
        <n v="4311" u="1"/>
        <n v="3065" u="1"/>
        <n v="2935" u="1"/>
        <n v="2805" u="1"/>
        <n v="2675" u="1"/>
        <n v="1093" u="1"/>
        <n v="4248" u="1"/>
        <n v="1028" u="1"/>
        <n v="4042" u="1"/>
        <n v="3912" u="1"/>
        <n v="961" u="1"/>
        <n v="3782" u="1"/>
        <n v="3652" u="1"/>
        <n v="896" u="1"/>
        <n v="3522" u="1"/>
        <n v="831" u="1"/>
        <n v="3262" u="1"/>
        <n v="3132" u="1"/>
        <n v="4185" u="1"/>
        <n v="766" u="1"/>
        <n v="3002" u="1"/>
        <n v="2872" u="1"/>
        <n v="701" u="1"/>
        <n v="2742" u="1"/>
        <n v="2612" u="1"/>
        <n v="571" u="1"/>
        <n v="4382" u="1"/>
        <n v="4122" u="1"/>
        <n v="509" u="1"/>
        <n v="3979" u="1"/>
        <n v="3849" u="1"/>
        <n v="3719" u="1"/>
        <n v="3589" u="1"/>
        <n v="444" u="1"/>
        <n v="3459" u="1"/>
        <n v="3329" u="1"/>
        <n v="3199" u="1"/>
        <n v="4319" u="1"/>
        <n v="3069" u="1"/>
        <n v="379" u="1"/>
        <n v="2939" u="1"/>
        <n v="2809" u="1"/>
        <n v="2679" u="1"/>
        <n v="1095" u="1"/>
        <n v="4256" u="1"/>
        <n v="1030" u="1"/>
        <n v="457840" u="1"/>
        <n v="3916" u="1"/>
        <n v="962" u="1"/>
        <n v="3786" u="1"/>
        <n v="3656" u="1"/>
        <n v="897" u="1"/>
        <n v="3526" u="1"/>
        <n v="3396" u="1"/>
        <n v="832" u="1"/>
        <n v="3266" u="1"/>
        <n v="3136" u="1"/>
        <n v="4193" u="1"/>
        <n v="767" u="1"/>
        <n v="3006" u="1"/>
        <n v="2876" u="1"/>
        <n v="702" u="1"/>
        <n v="2746" u="1"/>
        <n v="2616" u="1"/>
        <n v="572" u="1"/>
        <n v="4130" u="1"/>
        <n v="3983" u="1"/>
        <n v="3853" u="1"/>
        <n v="477" u="1"/>
        <n v="3723" u="1"/>
        <n v="3593" u="1"/>
        <n v="3463" u="1"/>
        <n v="3333" u="1"/>
        <n v="412" u="1"/>
        <n v="4327" u="1"/>
        <n v="3073" u="1"/>
        <n v="2943" u="1"/>
        <n v="2813" u="1"/>
        <n v="2683" u="1"/>
        <n v="1097" u="1"/>
        <n v="4264" u="1"/>
        <n v="1032" u="1"/>
        <n v="4050" u="1"/>
        <n v="3920" u="1"/>
        <n v="963" u="1"/>
        <n v="3660" u="1"/>
        <n v="898" u="1"/>
        <n v="3530" u="1"/>
        <n v="833" u="1"/>
        <n v="3270" u="1"/>
        <n v="3140" u="1"/>
        <n v="4201" u="1"/>
        <n v="3010" u="1"/>
        <n v="2880" u="1"/>
        <n v="703" u="1"/>
        <n v="2750" u="1"/>
        <n v="2620" u="1"/>
        <n v="573" u="1"/>
        <n v="4138" u="1"/>
        <n v="3987" u="1"/>
        <n v="3857" u="1"/>
        <n v="3727" u="1"/>
        <n v="3597" u="1"/>
        <n v="445" u="1"/>
        <n v="3467" u="1"/>
        <n v="3207" u="1"/>
        <n v="4335" u="1"/>
        <n v="3077" u="1"/>
        <n v="380" u="1"/>
        <n v="2947" u="1"/>
        <n v="2817" u="1"/>
        <n v="2687" u="1"/>
        <n v="4272" u="1"/>
        <n v="1034" u="1"/>
        <n v="4054" u="1"/>
        <n v="3924" u="1"/>
        <n v="964" u="1"/>
        <n v="3794" u="1"/>
        <n v="3664" u="1"/>
        <n v="899" u="1"/>
        <n v="3534" u="1"/>
        <n v="3404" u="1"/>
        <n v="834" u="1"/>
        <n v="3274" u="1"/>
        <n v="3144" u="1"/>
        <n v="4209" u="1"/>
        <n v="769" u="1"/>
        <n v="3014" u="1"/>
        <n v="2884" u="1"/>
        <n v="704" u="1"/>
        <n v="2754" u="1"/>
        <n v="574" u="1"/>
        <n v="4146" u="1"/>
        <n v="3991" u="1"/>
        <n v="3861" u="1"/>
        <n v="3731" u="1"/>
        <n v="3601" u="1"/>
        <n v="3471" u="1"/>
        <n v="3341" u="1"/>
        <n v="413" u="1"/>
        <n v="3211" u="1"/>
        <n v="4343" u="1"/>
        <n v="2951" u="1"/>
        <n v="2821" u="1"/>
        <n v="2691" u="1"/>
        <n v="4280" u="1"/>
        <n v="1036" u="1"/>
        <n v="4058" u="1"/>
        <n v="3928" u="1"/>
        <n v="3798" u="1"/>
        <n v="3668" u="1"/>
        <n v="3538" u="1"/>
        <n v="3408" u="1"/>
        <n v="835" u="1"/>
        <n v="3278" u="1"/>
        <n v="3148" u="1"/>
        <n v="4217" u="1"/>
        <n v="770" u="1"/>
        <n v="3018" u="1"/>
        <n v="2888" u="1"/>
        <n v="705" u="1"/>
        <n v="2758" u="1"/>
        <n v="2628" u="1"/>
        <n v="575" u="1"/>
        <n v="4154" u="1"/>
        <n v="3995" u="1"/>
        <n v="3865" u="1"/>
        <n v="3735" u="1"/>
        <n v="3605" u="1"/>
        <n v="446" u="1"/>
        <n v="3475" u="1"/>
        <n v="3345" u="1"/>
        <n v="3215" u="1"/>
        <n v="4351" u="1"/>
        <n v="3085" u="1"/>
        <n v="2955" u="1"/>
        <n v="2825" u="1"/>
        <n v="2695" u="1"/>
        <n v="4288" u="1"/>
        <n v="1038" u="1"/>
        <n v="3932" u="1"/>
        <n v="966" u="1"/>
        <n v="3802" u="1"/>
        <n v="3672" u="1"/>
        <n v="3542" u="1"/>
        <n v="3412" u="1"/>
        <n v="836" u="1"/>
        <n v="3282" u="1"/>
        <n v="3152" u="1"/>
        <n v="4225" u="1"/>
        <n v="771" u="1"/>
        <n v="3022" u="1"/>
        <n v="2892" u="1"/>
        <n v="706" u="1"/>
        <n v="2762" u="1"/>
        <n v="2632" u="1"/>
        <n v="576" u="1"/>
        <n v="4162" u="1"/>
        <n v="3999" u="1"/>
        <n v="3869" u="1"/>
        <n v="3739" u="1"/>
        <n v="3609" u="1"/>
        <n v="3479" u="1"/>
        <n v="3349" u="1"/>
        <n v="414" u="1"/>
        <n v="3219" u="1"/>
        <n v="4359" u="1"/>
        <n v="3089" u="1"/>
        <n v="4099" u="1"/>
        <n v="2959" u="1"/>
        <n v="2829" u="1"/>
        <n v="349" u="1"/>
        <n v="2699" u="1"/>
        <n v="1105" u="1"/>
        <n v="4296" u="1"/>
        <n v="1040" u="1"/>
        <n v="4066" u="1"/>
        <n v="3936" u="1"/>
        <n v="967" u="1"/>
        <n v="3806" u="1"/>
        <n v="3676" u="1"/>
        <n v="902" u="1"/>
        <n v="3546" u="1"/>
        <n v="3416" u="1"/>
        <n v="837" u="1"/>
        <n v="3286" u="1"/>
        <n v="3156" u="1"/>
        <n v="4233" u="1"/>
        <n v="772" u="1"/>
        <n v="2896" u="1"/>
        <n v="707" u="1"/>
        <n v="2766" u="1"/>
        <n v="642" u="1"/>
        <n v="577" u="1"/>
        <n v="4170" u="1"/>
        <n v="512" u="1"/>
        <n v="4003" u="1"/>
        <n v="3873" u="1"/>
        <n v="3743" u="1"/>
        <n v="3613" u="1"/>
        <n v="3353" u="1"/>
        <n v="4367" u="1"/>
        <n v="3093" u="1"/>
        <n v="4107" u="1"/>
        <n v="2963" u="1"/>
        <n v="2833" u="1"/>
        <n v="2703" u="1"/>
        <n v="4304" u="1"/>
        <n v="4070" u="1"/>
        <n v="3940" u="1"/>
        <n v="968" u="1"/>
        <n v="3810" u="1"/>
        <n v="3680" u="1"/>
        <n v="903" u="1"/>
        <n v="3550" u="1"/>
        <n v="3420" u="1"/>
        <n v="838" u="1"/>
        <n v="3290" u="1"/>
        <n v="3160" u="1"/>
        <n v="773" u="1"/>
        <n v="3030" u="1"/>
        <n v="2900" u="1"/>
        <n v="708" u="1"/>
        <n v="2770" u="1"/>
        <n v="2640" u="1"/>
        <n v="643" u="1"/>
        <n v="578" u="1"/>
        <n v="4178" u="1"/>
        <n v="513" u="1"/>
        <n v="4007" u="1"/>
        <n v="3877" u="1"/>
        <n v="3617" u="1"/>
        <n v="3487" u="1"/>
        <n v="3357" u="1"/>
        <n v="415" u="1"/>
        <n v="3227" u="1"/>
        <n v="4375" u="1"/>
        <n v="3097" u="1"/>
        <n v="4115" u="1"/>
        <n v="2967" u="1"/>
        <n v="2837" u="1"/>
        <n v="350" u="1"/>
        <n v="2707" u="1"/>
        <n v="2577" u="1"/>
        <n v="4312" u="1"/>
        <n v="1044" u="1"/>
        <n v="4074" u="1"/>
        <n v="3944" u="1"/>
        <n v="969" u="1"/>
        <n v="3814" u="1"/>
        <n v="3684" u="1"/>
        <n v="904" u="1"/>
        <n v="3554" u="1"/>
        <n v="3424" u="1"/>
        <n v="839" u="1"/>
        <n v="3294" u="1"/>
        <n v="3164" u="1"/>
        <n v="4249" u="1"/>
        <n v="3034" u="1"/>
        <n v="2904" u="1"/>
        <n v="709" u="1"/>
        <n v="2774" u="1"/>
        <n v="2644" u="1"/>
        <n v="644" u="1"/>
        <n v="579" u="1"/>
        <n v="4186" u="1"/>
        <n v="514" u="1"/>
        <n v="4011" u="1"/>
        <n v="3881" u="1"/>
        <n v="3751" u="1"/>
        <n v="3621" u="1"/>
        <n v="448" u="1"/>
        <n v="3491" u="1"/>
        <n v="3361" u="1"/>
        <n v="3231" u="1"/>
        <n v="4383" u="1"/>
        <n v="3101" u="1"/>
        <n v="4123" u="1"/>
        <n v="383" u="1"/>
        <n v="2971" u="1"/>
        <n v="2841" u="1"/>
        <n v="2711" u="1"/>
        <n v="4320" u="1"/>
        <n v="1046" u="1"/>
        <n v="4078" u="1"/>
        <n v="3948" u="1"/>
        <n v="3818" u="1"/>
        <n v="3688" u="1"/>
        <n v="905" u="1"/>
        <n v="3558" u="1"/>
        <n v="3428" u="1"/>
        <n v="840" u="1"/>
        <n v="3168" u="1"/>
        <n v="4257" u="1"/>
        <n v="3038" u="1"/>
        <n v="2908" u="1"/>
        <n v="710" u="1"/>
        <n v="2778" u="1"/>
        <n v="2648" u="1"/>
        <n v="645" u="1"/>
        <n v="580" u="1"/>
        <n v="4194" u="1"/>
        <n v="515" u="1"/>
        <n v="4015" u="1"/>
        <n v="3885" u="1"/>
        <n v="3755" u="1"/>
        <n v="3625" u="1"/>
        <n v="3495" u="1"/>
        <n v="3365" u="1"/>
        <n v="416" u="1"/>
        <n v="3105" u="1"/>
        <n v="4131" u="1"/>
        <n v="2975" u="1"/>
        <n v="2845" u="1"/>
        <n v="351" u="1"/>
        <n v="2715" u="1"/>
        <n v="2585" u="1"/>
        <n v="1113" u="1"/>
        <n v="4328" u="1"/>
        <n v="1048" u="1"/>
        <n v="3952" u="1"/>
        <n v="971" u="1"/>
        <n v="3822" u="1"/>
        <n v="3692" u="1"/>
        <n v="906" u="1"/>
        <n v="3562" u="1"/>
        <n v="3432" u="1"/>
        <n v="841" u="1"/>
        <n v="3172" u="1"/>
        <n v="4265" u="1"/>
        <n v="3042" u="1"/>
        <n v="2912" u="1"/>
        <n v="711" u="1"/>
        <n v="2782" u="1"/>
        <n v="2652" u="1"/>
        <n v="646" u="1"/>
        <n v="581" u="1"/>
        <n v="4202" u="1"/>
        <n v="516" u="1"/>
        <n v="4019" u="1"/>
        <n v="3889" u="1"/>
        <n v="3759" u="1"/>
        <n v="3629" u="1"/>
        <n v="449" u="1"/>
        <n v="3499" u="1"/>
        <n v="3369" u="1"/>
        <n v="3109" u="1"/>
        <n v="4139" u="1"/>
        <n v="384" u="1"/>
        <n v="2979" u="1"/>
        <n v="2849" u="1"/>
        <n v="2719" u="1"/>
        <n v="2589" u="1"/>
        <n v="4336" u="1"/>
        <n v="1050" u="1"/>
        <n v="4086" u="1"/>
        <n v="3956" u="1"/>
        <n v="3826" u="1"/>
        <n v="3696" u="1"/>
        <n v="907" u="1"/>
        <n v="3566" u="1"/>
        <n v="3436" u="1"/>
        <n v="842" u="1"/>
        <n v="3176" u="1"/>
        <n v="4273" u="1"/>
        <n v="777" u="1"/>
        <n v="3046" u="1"/>
        <n v="2916" u="1"/>
        <n v="712" u="1"/>
        <n v="2656" u="1"/>
        <n v="647" u="1"/>
      </sharedItems>
    </cacheField>
    <cacheField name="NÚMERO NF" numFmtId="0">
      <sharedItems containsNonDate="0" containsString="0" containsBlank="1" containsNumber="1" containsInteger="1" minValue="1" maxValue="282710" count="2241">
        <m/>
        <n v="262272" u="1"/>
        <n v="265802" u="1"/>
        <n v="223381" u="1"/>
        <n v="257670" u="1"/>
        <n v="170435" u="1"/>
        <n v="210775" u="1"/>
        <n v="265803" u="1"/>
        <n v="218339" u="1"/>
        <n v="226407" u="1"/>
        <n v="9210" u="1"/>
        <n v="179512" u="1"/>
        <n v="25" u="1"/>
        <n v="94" u="1"/>
        <n v="19023" u="1"/>
        <n v="21040" u="1"/>
        <n v="170436" u="1"/>
        <n v="178504" u="1"/>
        <n v="272360" u="1"/>
        <n v="14158" u="1"/>
        <n v="242544" u="1"/>
        <n v="181782" u="1"/>
        <n v="287" u="1"/>
        <n v="12598" u="1"/>
        <n v="15592" u="1"/>
        <n v="270849" u="1"/>
        <n v="239" u="1"/>
        <n v="14032" u="1"/>
        <n v="19685" u="1"/>
        <n v="261707" u="1"/>
        <n v="174" u="1"/>
        <n v="12409" u="1"/>
        <n v="194642" u="1"/>
        <n v="16439" u="1"/>
        <n v="22490" u="1"/>
        <n v="199937" u="1"/>
        <n v="17353" u="1"/>
        <n v="221620" u="1"/>
        <n v="261708" u="1"/>
        <n v="206493" u="1"/>
        <n v="275896" u="1"/>
        <n v="24255" u="1"/>
        <n v="16254" u="1"/>
        <n v="211788" u="1"/>
        <n v="189349" u="1"/>
        <n v="23" u="1"/>
        <n v="23089" u="1"/>
        <n v="86" u="1"/>
        <n v="261205" u="1"/>
        <n v="21009" u="1"/>
        <n v="206242" u="1"/>
        <n v="13591" u="1"/>
        <n v="217588" u="1"/>
        <n v="281950" u="1"/>
        <n v="17826" u="1"/>
        <n v="211285" u="1"/>
        <n v="176744" u="1"/>
        <n v="219101" u="1"/>
        <n v="240784" u="1"/>
        <n v="277917" u="1"/>
        <n v="198175" u="1"/>
        <n v="220362" u="1"/>
        <n v="265311" u="1"/>
        <n v="16660" u="1"/>
        <n v="20694" u="1"/>
        <n v="19654" u="1"/>
        <n v="256164" u="1"/>
        <n v="15482" u="1"/>
        <n v="176997" u="1"/>
        <n v="266825" u="1"/>
        <n v="158" u="1"/>
        <n v="9368" u="1"/>
        <n v="240785" u="1"/>
        <n v="14899" u="1"/>
        <n v="192125" u="1"/>
        <n v="234482" u="1"/>
        <n v="17322" u="1"/>
        <n v="166913" u="1"/>
        <n v="26304" u="1"/>
        <n v="190361" u="1"/>
        <n v="204480" u="1"/>
        <n v="214565" u="1"/>
        <n v="252888" u="1"/>
        <n v="8722" u="1"/>
        <n v="23184" u="1"/>
        <n v="242047" u="1"/>
        <n v="18110" u="1"/>
        <n v="17070" u="1"/>
        <n v="196917" u="1"/>
        <n v="21" u="1"/>
        <n v="239022" u="1"/>
        <n v="78" u="1"/>
        <n v="204481" u="1"/>
        <n v="265821" u="1"/>
        <n v="288" u="1"/>
        <n v="244569" u="1"/>
        <n v="226164" u="1"/>
        <n v="16881" u="1"/>
        <n v="8533" u="1"/>
        <n v="247595" u="1"/>
        <n v="247091" u="1"/>
        <n v="15041" u="1"/>
        <n v="277925" u="1"/>
        <n v="207" u="1"/>
        <n v="232216" u="1"/>
        <n v="183556" u="1"/>
        <n v="14458" u="1"/>
        <n v="225409" u="1"/>
        <n v="263303" u="1"/>
        <n v="9904" u="1"/>
        <n v="16503" u="1"/>
        <n v="212803" u="1"/>
        <n v="200449" u="1"/>
        <n v="240789" u="1"/>
        <n v="142" u="1"/>
        <n v="20474" u="1"/>
        <n v="256673" u="1"/>
        <n v="21451" u="1"/>
        <n v="179775" u="1"/>
        <n v="208013" u="1"/>
        <n v="10818" u="1"/>
        <n v="10298" u="1"/>
        <n v="263305" u="1"/>
        <n v="174481" u="1"/>
        <n v="278433" u="1"/>
        <n v="175994" u="1"/>
        <n v="263306" u="1"/>
        <n v="193643" u="1"/>
        <n v="262298" u="1"/>
        <n v="273392" u="1"/>
        <n v="229193" u="1"/>
        <n v="19" u="1"/>
        <n v="198434" u="1"/>
        <n v="204485" u="1"/>
        <n v="236757" u="1"/>
        <n v="70" u="1"/>
        <n v="256" u="1"/>
        <n v="15640" u="1"/>
        <n v="244321" u="1"/>
        <n v="19907" u="1"/>
        <n v="209780" u="1"/>
        <n v="16097" u="1"/>
        <n v="215075" u="1"/>
        <n v="191" u="1"/>
        <n v="214067" u="1"/>
        <n v="203478" u="1"/>
        <n v="17575" u="1"/>
        <n v="213311" u="1"/>
        <n v="237515" u="1"/>
        <n v="277430" u="1"/>
        <n v="244827" u="1"/>
        <n v="9857" u="1"/>
        <n v="127" u="1"/>
        <n v="254156" u="1"/>
        <n v="203479" u="1"/>
        <n v="223649" u="1"/>
        <n v="195159" u="1"/>
        <n v="278945" u="1"/>
        <n v="10771" u="1"/>
        <n v="208774" u="1"/>
        <n v="255165" u="1"/>
        <n v="226675" u="1"/>
        <n v="179024" u="1"/>
        <n v="273400" u="1"/>
        <n v="289" u="1"/>
        <n v="19025" u="1"/>
        <n v="232727" u="1"/>
        <n v="265837" u="1"/>
        <n v="17" u="1"/>
        <n v="9605" u="1"/>
        <n v="263316" u="1"/>
        <n v="63" u="1"/>
        <n v="240" u="1"/>
        <n v="235753" u="1"/>
        <n v="210037" u="1"/>
        <n v="175" u="1"/>
        <n v="174992" u="1"/>
        <n v="16441" u="1"/>
        <n v="119" u="1"/>
        <n v="209786" u="1"/>
        <n v="280465" u="1"/>
        <n v="229200" u="1"/>
        <n v="240798" u="1"/>
        <n v="271390" u="1"/>
        <n v="203232" u="1"/>
        <n v="12678" u="1"/>
        <n v="253405" u="1"/>
        <n v="255170" u="1"/>
        <n v="257" u="1"/>
        <n v="212309" u="1"/>
        <n v="236513" u="1"/>
        <n v="169700" u="1"/>
        <n v="220125" u="1"/>
        <n v="59" u="1"/>
        <n v="221386" u="1"/>
        <n v="196930" u="1"/>
        <n v="261474" u="1"/>
        <n v="202477" u="1"/>
        <n v="254919" u="1"/>
        <n v="182055" u="1"/>
        <n v="17639" u="1"/>
        <n v="262318" u="1"/>
        <n v="159" u="1"/>
        <n v="275933" u="1"/>
        <n v="261727" u="1"/>
        <n v="168693" u="1"/>
        <n v="237271" u="1"/>
        <n v="257441" u="1"/>
        <n v="216849" u="1"/>
        <n v="261223" u="1"/>
        <n v="192141" u="1"/>
        <n v="225926" u="1"/>
        <n v="111" u="1"/>
        <n v="275431" u="1"/>
        <n v="166677" u="1"/>
        <n v="168694" u="1"/>
        <n v="8723" u="1"/>
        <n v="178023" u="1"/>
        <n v="192142" u="1"/>
        <n v="244584" u="1"/>
        <n v="183822" u="1"/>
        <n v="268877" u="1"/>
        <n v="225927" u="1"/>
        <n v="290" u="1"/>
        <n v="24037" u="1"/>
        <n v="1" u="1"/>
        <n v="208027" u="1"/>
        <n v="212061" u="1"/>
        <n v="55" u="1"/>
        <n v="13088" u="1"/>
        <n v="237778" u="1"/>
        <n v="251897" u="1"/>
        <n v="208" u="1"/>
        <n v="22871" u="1"/>
        <n v="278461" u="1"/>
        <n v="282495" u="1"/>
        <n v="194413" u="1"/>
        <n v="194161" u="1"/>
        <n v="230467" u="1"/>
        <n v="216096" u="1"/>
        <n v="12962" u="1"/>
        <n v="269890" u="1"/>
        <n v="143" u="1"/>
        <n v="12899" u="1"/>
        <n v="18459" u="1"/>
        <n v="11859" u="1"/>
        <n v="272917" u="1"/>
        <n v="103" u="1"/>
        <n v="20350" u="1"/>
        <n v="209038" u="1"/>
        <n v="272918" u="1"/>
        <n v="172480" u="1"/>
        <n v="272414" u="1"/>
        <n v="8219" u="1"/>
        <n v="14270" u="1"/>
        <n v="16287" u="1"/>
        <n v="25172" u="1"/>
        <n v="263843" u="1"/>
        <n v="258" u="1"/>
        <n v="266869" u="1"/>
        <n v="280988" u="1"/>
        <n v="198702" u="1"/>
        <n v="242824" u="1"/>
        <n v="176011" u="1"/>
        <n v="11607" u="1"/>
        <n v="15641" u="1"/>
        <n v="195425" u="1"/>
        <n v="51" u="1"/>
        <n v="261734" u="1"/>
        <n v="192" u="1"/>
        <n v="176516" u="1"/>
        <n v="10504" u="1"/>
        <n v="9984" u="1"/>
        <n v="221395" u="1"/>
        <n v="273428" u="1"/>
        <n v="234758" u="1"/>
        <n v="195679" u="1"/>
        <n v="247869" u="1"/>
        <n v="13829" u="1"/>
        <n v="243583" u="1"/>
        <n v="95" u="1"/>
        <n v="1263" u="1"/>
        <n v="177779" u="1"/>
        <n v="291" u="1"/>
        <n v="169459" u="1"/>
        <n v="184839" u="1"/>
        <n v="262843" u="1"/>
        <n v="268894" u="1"/>
        <n v="241" u="1"/>
        <n v="17010" u="1"/>
        <n v="224927" u="1"/>
        <n v="14160" u="1"/>
        <n v="260981" u="1"/>
        <n v="269399" u="1"/>
        <n v="193412" u="1"/>
        <n v="279989" u="1"/>
        <n v="201228" u="1"/>
        <n v="249636" u="1"/>
        <n v="47" u="1"/>
        <n v="15074" u="1"/>
        <n v="172738" u="1"/>
        <n v="251401" u="1"/>
        <n v="176" u="1"/>
        <n v="206775" u="1"/>
        <n v="224928" u="1"/>
        <n v="276460" u="1"/>
        <n v="176268" u="1"/>
        <n v="220642" u="1"/>
        <n v="16695" u="1"/>
        <n v="240560" u="1"/>
        <n v="171730" u="1"/>
        <n v="177781" u="1"/>
        <n v="193917" u="1"/>
        <n v="238039" u="1"/>
        <n v="276461" u="1"/>
        <n v="19563" u="1"/>
        <n v="255436" u="1"/>
        <n v="184589" u="1"/>
        <n v="206776" u="1"/>
        <n v="19500" u="1"/>
        <n v="172235" u="1"/>
        <n v="14822" u="1"/>
        <n v="227199" u="1"/>
        <n v="241318" u="1"/>
        <n v="87" u="1"/>
        <n v="174505" u="1"/>
        <n v="10725" u="1"/>
        <n v="259" u="1"/>
        <n v="177279" u="1"/>
        <n v="255942" u="1"/>
        <n v="19059" u="1"/>
        <n v="225" u="1"/>
        <n v="15673" u="1"/>
        <n v="274954" u="1"/>
        <n v="238042" u="1"/>
        <n v="18870" u="1"/>
        <n v="199467" u="1"/>
        <n v="215603" u="1"/>
        <n v="43" u="1"/>
        <n v="19784" u="1"/>
        <n v="160" u="1"/>
        <n v="170221" u="1"/>
        <n v="206275" u="1"/>
        <n v="271426" u="1"/>
        <n v="193921" u="1"/>
        <n v="18618" u="1"/>
        <n v="181063" u="1"/>
        <n v="263359" u="1"/>
        <n v="273444" u="1"/>
        <n v="13924" u="1"/>
        <n v="174508" u="1"/>
        <n v="13404" u="1"/>
        <n v="19469" u="1"/>
        <n v="258718" u="1"/>
        <n v="18366" u="1"/>
        <n v="241574" u="1"/>
        <n v="269412" u="1"/>
        <n v="253424" u="1"/>
        <n v="79" u="1"/>
        <n v="222665" u="1"/>
        <n v="292" u="1"/>
        <n v="14775" u="1"/>
        <n v="167954" u="1"/>
        <n v="175770" u="1"/>
        <n v="236028" u="1"/>
        <n v="190394" u="1"/>
        <n v="222666" u="1"/>
        <n v="260989" u="1"/>
        <n v="209" u="1"/>
        <n v="232499" u="1"/>
        <n v="280509" u="1"/>
        <n v="15106" u="1"/>
        <n v="207539" u="1"/>
        <n v="253426" u="1"/>
        <n v="39" u="1"/>
        <n v="144" u="1"/>
        <n v="208296" u="1"/>
        <n v="211574" u="1"/>
        <n v="221659" u="1"/>
        <n v="273956" u="1"/>
        <n v="14460" u="1"/>
        <n v="20604" u="1"/>
        <n v="217373" u="1"/>
        <n v="16507" u="1"/>
        <n v="212583" u="1"/>
        <n v="264881" u="1"/>
        <n v="279000" u="1"/>
        <n v="282530" u="1"/>
        <n v="178295" u="1"/>
        <n v="71" u="1"/>
        <n v="16288" u="1"/>
        <n v="260" u="1"/>
        <n v="11214" u="1"/>
        <n v="169471" u="1"/>
        <n v="198718" u="1"/>
        <n v="193" u="1"/>
        <n v="17894" u="1"/>
        <n v="14602" u="1"/>
        <n v="18871" u="1"/>
        <n v="247631" u="1"/>
        <n v="180818" u="1"/>
        <n v="9008" u="1"/>
        <n v="190651" u="1"/>
        <n v="226957" u="1"/>
        <n v="244858" u="1"/>
        <n v="35" u="1"/>
        <n v="21739" u="1"/>
        <n v="128" u="1"/>
        <n v="15516" u="1"/>
        <n v="270434" u="1"/>
        <n v="169221" u="1"/>
        <n v="235530" u="1"/>
        <n v="22590" u="1"/>
        <n v="172751" u="1"/>
        <n v="211074" u="1"/>
        <n v="253431" u="1"/>
        <n v="25584" u="1"/>
        <n v="257213" u="1"/>
        <n v="16476" u="1"/>
        <n v="273965" u="1"/>
        <n v="212083" u="1"/>
        <n v="223933" u="1"/>
        <n v="19344" u="1"/>
        <n v="1206" u="1"/>
        <n v="293" u="1"/>
        <n v="275480" u="1"/>
        <n v="13247" u="1"/>
        <n v="242" u="1"/>
        <n v="244104" u="1"/>
        <n v="24166" u="1"/>
        <n v="253937" u="1"/>
        <n v="22086" u="1"/>
        <n v="231246" u="1"/>
        <n v="9607" u="1"/>
        <n v="196201" u="1"/>
        <n v="222422" u="1"/>
        <n v="254442" u="1"/>
        <n v="177" u="1"/>
        <n v="17863" u="1"/>
        <n v="271953" u="1"/>
        <n v="275987" u="1"/>
        <n v="201244" u="1"/>
        <n v="273466" u="1"/>
        <n v="245366" u="1"/>
        <n v="268928" u="1"/>
        <n v="228726" u="1"/>
        <n v="16697" u="1"/>
        <n v="24765" u="1"/>
        <n v="196202" u="1"/>
        <n v="197967" u="1"/>
        <n v="120" u="1"/>
        <n v="207800" u="1"/>
        <n v="15989" u="1"/>
        <n v="20605" u="1"/>
        <n v="173007" u="1"/>
        <n v="17548" u="1"/>
        <n v="206792" u="1"/>
        <n v="15926" u="1"/>
        <n v="19502" u="1"/>
        <n v="171999" u="1"/>
        <n v="281537" u="1"/>
        <n v="19439" u="1"/>
        <n v="10332" u="1"/>
        <n v="195699" u="1"/>
        <n v="217886" u="1"/>
        <n v="278008" u="1"/>
        <n v="22370" u="1"/>
        <n v="17296" u="1"/>
        <n v="22307" u="1"/>
        <n v="268428" u="1"/>
        <n v="261" u="1"/>
        <n v="176034" u="1"/>
        <n v="236292" u="1"/>
        <n v="226" u="1"/>
        <n v="177043" u="1"/>
        <n v="231502" u="1"/>
        <n v="247134" u="1"/>
        <n v="218392" u="1"/>
        <n v="222426" u="1"/>
        <n v="161" u="1"/>
        <n v="11577" u="1"/>
        <n v="22843" u="1"/>
        <n v="16729" u="1"/>
        <n v="224696" u="1"/>
        <n v="230495" u="1"/>
        <n v="187634" u="1"/>
        <n v="112" u="1"/>
        <n v="223688" u="1"/>
        <n v="245623" u="1"/>
        <n v="24482" u="1"/>
        <n v="229992" u="1"/>
        <n v="270452" u="1"/>
        <n v="167213" u="1"/>
        <n v="169230" u="1"/>
        <n v="273982" u="1"/>
        <n v="294" u="1"/>
        <n v="218647" u="1"/>
        <n v="244616" u="1"/>
        <n v="236296" u="1"/>
        <n v="264907" u="1"/>
        <n v="278522" u="1"/>
        <n v="24167" u="1"/>
        <n v="210" u="1"/>
        <n v="22087" u="1"/>
        <n v="20007" u="1"/>
        <n v="246634" u="1"/>
        <n v="11073" u="1"/>
        <n v="15107" u="1"/>
        <n v="145" u="1"/>
        <n v="217388" u="1"/>
        <n v="265414" u="1"/>
        <n v="273482" u="1"/>
        <n v="178561" u="1"/>
        <n v="278525" u="1"/>
        <n v="228734" u="1"/>
        <n v="20732" u="1"/>
        <n v="224448" u="1"/>
        <n v="25743" u="1"/>
        <n v="270962" u="1"/>
        <n v="240080" u="1"/>
        <n v="252182" u="1"/>
        <n v="12964" u="1"/>
        <n v="282056" u="1"/>
        <n v="104" u="1"/>
        <n v="17549" u="1"/>
        <n v="166712" u="1"/>
        <n v="23411" u="1"/>
        <n v="195455" u="1"/>
        <n v="18337" u="1"/>
        <n v="262" u="1"/>
        <n v="22308" u="1"/>
        <n v="206801" u="1"/>
        <n v="228988" u="1"/>
        <n v="216382" u="1"/>
        <n v="244620" u="1"/>
        <n v="19125" u="1"/>
        <n v="194" u="1"/>
        <n v="15706" u="1"/>
        <n v="176799" u="1"/>
        <n v="16982" u="1"/>
        <n v="16919" u="1"/>
        <n v="213862" u="1"/>
        <n v="4338" u="1"/>
        <n v="16100" u="1"/>
        <n v="129" u="1"/>
        <n v="233276" u="1"/>
        <n v="281054" u="1"/>
        <n v="212854" u="1"/>
        <n v="12523" u="1"/>
        <n v="22781" u="1"/>
        <n v="173271" u="1"/>
        <n v="265928" u="1"/>
        <n v="15974" u="1"/>
        <n v="96" u="1"/>
        <n v="13437" u="1"/>
        <n v="281056" u="1"/>
        <n v="235042" u="1"/>
        <n v="295" u="1"/>
        <n v="21363" u="1"/>
        <n v="243" u="1"/>
        <n v="176298" u="1"/>
        <n v="218655" u="1"/>
        <n v="13768" u="1"/>
        <n v="188148" u="1"/>
        <n v="200250" u="1"/>
        <n v="210335" u="1"/>
        <n v="236304" u="1"/>
        <n v="248406" u="1"/>
        <n v="183610" u="1"/>
        <n v="270470" u="1"/>
        <n v="24168" u="1"/>
        <n v="198990" u="1"/>
        <n v="207058" u="1"/>
        <n v="178" u="1"/>
        <n v="21048" u="1"/>
        <n v="20008" u="1"/>
        <n v="182350" u="1"/>
        <n v="226724" u="1"/>
        <n v="16951" u="1"/>
        <n v="222186" u="1"/>
        <n v="16699" u="1"/>
        <n v="200000" u="1"/>
        <n v="206051" u="1"/>
        <n v="11436" u="1"/>
        <n v="239584" u="1"/>
        <n v="257737" u="1"/>
        <n v="88" u="1"/>
        <n v="18527" u="1"/>
        <n v="174536" u="1"/>
        <n v="21521" u="1"/>
        <n v="168233" u="1"/>
        <n v="170250" u="1"/>
        <n v="226726" u="1"/>
        <n v="206052" u="1"/>
        <n v="16384" u="1"/>
        <n v="263" u="1"/>
        <n v="194959" u="1"/>
        <n v="215129" u="1"/>
        <n v="14304" u="1"/>
        <n v="227" u="1"/>
        <n v="254965" u="1"/>
        <n v="225971" u="1"/>
        <n v="252192" u="1"/>
        <n v="25114" u="1"/>
        <n v="205045" u="1"/>
        <n v="18023" u="1"/>
        <n v="178572" u="1"/>
        <n v="226980" u="1"/>
        <n v="162" u="1"/>
        <n v="168235" u="1"/>
        <n v="244629" u="1"/>
        <n v="272497" u="1"/>
        <n v="181094" u="1"/>
        <n v="215383" u="1"/>
        <n v="251185" u="1"/>
        <n v="226729" u="1"/>
        <n v="181851" u="1"/>
        <n v="19662" u="1"/>
        <n v="15486" u="1"/>
        <n v="19599" u="1"/>
        <n v="174792" u="1"/>
        <n v="281072" u="1"/>
        <n v="15943" u="1"/>
        <n v="23570" u="1"/>
        <n v="80" u="1"/>
        <n v="206560" u="1"/>
        <n v="296" u="1"/>
        <n v="222192" u="1"/>
        <n v="256481" u="1"/>
        <n v="19347" u="1"/>
        <n v="207317" u="1"/>
        <n v="9246" u="1"/>
        <n v="13280" u="1"/>
        <n v="22278" u="1"/>
        <n v="250935" u="1"/>
        <n v="211" u="1"/>
        <n v="260768" u="1"/>
        <n v="209587" u="1"/>
        <n v="262419" u="1"/>
        <n v="146" u="1"/>
        <n v="14651" u="1"/>
        <n v="252701" u="1"/>
        <n v="228245" u="1"/>
        <n v="252449" u="1"/>
        <n v="256231" u="1"/>
        <n v="217656" u="1"/>
        <n v="22877" u="1"/>
        <n v="198999" u="1"/>
        <n v="257492" u="1"/>
        <n v="188410" u="1"/>
        <n v="14525" u="1"/>
        <n v="176056" u="1"/>
        <n v="224464" u="1"/>
        <n v="248668" u="1"/>
        <n v="25745" u="1"/>
        <n v="195974" u="1"/>
        <n v="15439" u="1"/>
        <n v="261275" u="1"/>
        <n v="72" u="1"/>
        <n v="264" u="1"/>
        <n v="23476" u="1"/>
        <n v="15376" u="1"/>
        <n v="16385" u="1"/>
        <n v="217910" u="1"/>
        <n v="250182" u="1"/>
        <n v="277048" u="1"/>
        <n v="168242" u="1"/>
        <n v="220684" u="1"/>
        <n v="246905" u="1"/>
        <n v="195" u="1"/>
        <n v="187908" u="1"/>
        <n v="228248" u="1"/>
        <n v="248166" u="1"/>
        <n v="193203" u="1"/>
        <n v="249679" u="1"/>
        <n v="17961" u="1"/>
        <n v="130" u="1"/>
        <n v="181858" u="1"/>
        <n v="248419" u="1"/>
        <n v="256235" u="1"/>
        <n v="255983" u="1"/>
        <n v="263941" u="1"/>
        <n v="182867" u="1"/>
        <n v="235309" u="1"/>
        <n v="9010" u="1"/>
        <n v="17772" u="1"/>
        <n v="210853" u="1"/>
        <n v="261278" u="1"/>
        <n v="208584" u="1"/>
        <n v="236822" u="1"/>
        <n v="194213" u="1"/>
        <n v="220434" u="1"/>
        <n v="15518" u="1"/>
        <n v="189675" u="1"/>
        <n v="219930" u="1"/>
        <n v="177321" u="1"/>
        <n v="189171" u="1"/>
        <n v="188919" u="1"/>
        <n v="297" u="1"/>
        <n v="23571" u="1"/>
        <n v="178582" u="1"/>
        <n v="18497" u="1"/>
        <n v="244891" u="1"/>
        <n v="64" u="1"/>
        <n v="195979" u="1"/>
        <n v="244" u="1"/>
        <n v="209594" u="1"/>
        <n v="225730" u="1"/>
        <n v="182869" u="1"/>
        <n v="237328" u="1"/>
        <n v="264954" u="1"/>
        <n v="243127" u="1"/>
        <n v="12272" u="1"/>
        <n v="242875" u="1"/>
        <n v="22216" u="1"/>
        <n v="195980" u="1"/>
        <n v="179" u="1"/>
        <n v="167490" u="1"/>
        <n v="276553" u="1"/>
        <n v="251700" u="1"/>
        <n v="251448" u="1"/>
        <n v="25084" u="1"/>
        <n v="257247" u="1"/>
        <n v="212369" u="1"/>
        <n v="226488" u="1"/>
        <n v="195981" u="1"/>
        <n v="264957" u="1"/>
        <n v="24958" u="1"/>
        <n v="276555" u="1"/>
        <n v="16117" u="1"/>
        <n v="223715" u="1"/>
        <n v="280085" u="1"/>
        <n v="221446" u="1"/>
        <n v="201024" u="1"/>
        <n v="257500" u="1"/>
        <n v="4315" u="1"/>
        <n v="214891" u="1"/>
        <n v="178333" u="1"/>
        <n v="202285" u="1"/>
        <n v="15991" u="1"/>
        <n v="171274" u="1"/>
        <n v="247416" u="1"/>
        <n v="10397" u="1"/>
        <n v="280592" u="1"/>
        <n v="265" u="1"/>
        <n v="60" u="1"/>
        <n v="236071" u="1"/>
        <n v="187411" u="1"/>
        <n v="196992" u="1"/>
        <n v="16322" u="1"/>
        <n v="210859" u="1"/>
        <n v="226995" u="1"/>
        <n v="192202" u="1"/>
        <n v="175814" u="1"/>
        <n v="221953" u="1"/>
        <n v="163" u="1"/>
        <n v="20105" u="1"/>
        <n v="194724" u="1"/>
        <n v="9625" u="1"/>
        <n v="216659" u="1"/>
        <n v="261033" u="1"/>
        <n v="276058" u="1"/>
        <n v="17962" u="1"/>
        <n v="22973" u="1"/>
        <n v="113" u="1"/>
        <n v="259773" u="1"/>
        <n v="277572" u="1"/>
        <n v="186909" u="1"/>
        <n v="268496" u="1"/>
        <n v="19727" u="1"/>
        <n v="12493" u="1"/>
        <n v="260530" u="1"/>
        <n v="21681" u="1"/>
        <n v="169513" u="1"/>
        <n v="231788" u="1"/>
        <n v="298" u="1"/>
        <n v="199012" u="1"/>
        <n v="23572" u="1"/>
        <n v="276566" u="1"/>
        <n v="20452" u="1"/>
        <n v="24486" u="1"/>
        <n v="56" u="1"/>
        <n v="212" u="1"/>
        <n v="271525" u="1"/>
        <n v="273038" u="1"/>
        <n v="251203" u="1"/>
        <n v="238345" u="1"/>
        <n v="271022" u="1"/>
        <n v="189685" u="1"/>
        <n v="147" u="1"/>
        <n v="20074" u="1"/>
        <n v="15172" u="1"/>
        <n v="265477" u="1"/>
        <n v="19948" u="1"/>
        <n v="205822" u="1"/>
        <n v="282622" u="1"/>
        <n v="179349" u="1"/>
        <n v="237842" u="1"/>
        <n v="265982" u="1"/>
        <n v="105" u="1"/>
        <n v="170777" u="1"/>
        <n v="168508" u="1"/>
        <n v="214899" u="1"/>
        <n v="198511" u="1"/>
        <n v="22753" u="1"/>
        <n v="17679" u="1"/>
        <n v="19696" u="1"/>
        <n v="179350" u="1"/>
        <n v="235826" u="1"/>
        <n v="237843" u="1"/>
        <n v="237591" u="1"/>
        <n v="266" u="1"/>
        <n v="261543" u="1"/>
        <n v="183637" u="1"/>
        <n v="52" u="1"/>
        <n v="223473" u="1"/>
        <n v="277584" u="1"/>
        <n v="196" u="1"/>
        <n v="15314" u="1"/>
        <n v="249190" u="1"/>
        <n v="206581" u="1"/>
        <n v="18215" u="1"/>
        <n v="248686" u="1"/>
        <n v="230281" u="1"/>
        <n v="256502" u="1"/>
        <n v="271030" u="1"/>
        <n v="171536" u="1"/>
        <n v="260284" u="1"/>
        <n v="282124" u="1"/>
        <n v="195236" u="1"/>
        <n v="131" u="1"/>
        <n v="272040" u="1"/>
        <n v="12131" u="1"/>
        <n v="171537" u="1"/>
        <n v="191707" u="1"/>
        <n v="175319" u="1"/>
        <n v="213642" u="1"/>
        <n v="247931" u="1"/>
        <n v="23888" u="1"/>
        <n v="209356" u="1"/>
        <n v="275571" u="1"/>
        <n v="97" u="1"/>
        <n v="21808" u="1"/>
        <n v="241124" u="1"/>
        <n v="17711" u="1"/>
        <n v="248688" u="1"/>
        <n v="275572" u="1"/>
        <n v="19665" u="1"/>
        <n v="240116" u="1"/>
        <n v="185153" u="1"/>
        <n v="209357" u="1"/>
        <n v="245" u="1"/>
        <n v="233057" u="1"/>
        <n v="12399" u="1"/>
        <n v="195995" u="1"/>
        <n v="14873" u="1"/>
        <n v="211879" u="1"/>
        <n v="223981" u="1"/>
        <n v="235831" u="1"/>
        <n v="247681" u="1"/>
        <n v="48" u="1"/>
        <n v="166749" u="1"/>
        <n v="259531" u="1"/>
        <n v="180" u="1"/>
        <n v="181877" u="1"/>
        <n v="21178" u="1"/>
        <n v="232050" u="1"/>
        <n v="168515" u="1"/>
        <n v="242892" u="1"/>
        <n v="272049" u="1"/>
        <n v="89" u="1"/>
        <n v="1232" u="1"/>
        <n v="214403" u="1"/>
        <n v="15015" u="1"/>
        <n v="19697" u="1"/>
        <n v="187930" u="1"/>
        <n v="238355" u="1"/>
        <n v="267" u="1"/>
        <n v="201041" u="1"/>
        <n v="255500" u="1"/>
        <n v="180619" u="1"/>
        <n v="229" u="1"/>
        <n v="183393" u="1"/>
        <n v="15346" u="1"/>
        <n v="175073" u="1"/>
        <n v="44" u="1"/>
        <n v="16323" u="1"/>
        <n v="246929" u="1"/>
        <n v="10729" u="1"/>
        <n v="252476" u="1"/>
        <n v="23164" u="1"/>
        <n v="255502" u="1"/>
        <n v="274577" u="1"/>
        <n v="182386" u="1"/>
        <n v="232811" u="1"/>
        <n v="252981" u="1"/>
        <n v="9106" u="1"/>
        <n v="19918" u="1"/>
        <n v="13077" u="1"/>
        <n v="23889" u="1"/>
        <n v="183143" u="1"/>
        <n v="186925" u="1"/>
        <n v="219197" u="1"/>
        <n v="198775" u="1"/>
        <n v="81" u="1"/>
        <n v="1234" u="1"/>
        <n v="242897" u="1"/>
        <n v="17712" u="1"/>
        <n v="258781" u="1"/>
        <n v="10477" u="1"/>
        <n v="270546" u="1"/>
        <n v="241889" u="1"/>
        <n v="251974" u="1"/>
        <n v="10934" u="1"/>
        <n v="251722" u="1"/>
        <n v="194994" u="1"/>
        <n v="241385" u="1"/>
        <n v="9374" u="1"/>
        <n v="252983" u="1"/>
        <n v="213" u="1"/>
        <n v="226510" u="1"/>
        <n v="228023" u="1"/>
        <n v="248193" u="1"/>
        <n v="239873" u="1"/>
        <n v="268027" u="1"/>
        <n v="229284" u="1"/>
        <n v="19288" u="1"/>
        <n v="210879" u="1"/>
        <n v="40" u="1"/>
        <n v="148" u="1"/>
        <n v="180120" u="1"/>
        <n v="222477" u="1"/>
        <n v="22156" u="1"/>
        <n v="203316" u="1"/>
        <n v="215418" u="1"/>
        <n v="256263" u="1"/>
        <n v="233572" u="1"/>
        <n v="1236" u="1"/>
        <n v="247187" u="1"/>
        <n v="73" u="1"/>
        <n v="24772" u="1"/>
        <n v="268" u="1"/>
        <n v="21715" u="1"/>
        <n v="23732" u="1"/>
        <n v="171802" u="1"/>
        <n v="15504" u="1"/>
        <n v="15441" u="1"/>
        <n v="238868" u="1"/>
        <n v="197" u="1"/>
        <n v="193738" u="1"/>
        <n v="229792" u="1"/>
        <n v="21337" u="1"/>
        <n v="214665" u="1"/>
        <n v="240886" u="1"/>
        <n v="36" u="1"/>
        <n v="132" u="1"/>
        <n v="221473" u="1"/>
        <n v="269550" u="1"/>
        <n v="259544" u="1"/>
        <n v="19982" u="1"/>
        <n v="16925" u="1"/>
        <n v="204077" u="1"/>
        <n v="216179" u="1"/>
        <n v="17902" u="1"/>
        <n v="19856" u="1"/>
        <n v="268544" u="1"/>
        <n v="65" u="1"/>
        <n v="246435" u="1"/>
        <n v="271066" u="1"/>
        <n v="273083" u="1"/>
        <n v="246" u="1"/>
        <n v="24678" u="1"/>
        <n v="205591" u="1"/>
        <n v="253999" u="1"/>
        <n v="205339" u="1"/>
        <n v="207356" u="1"/>
        <n v="259294" u="1"/>
        <n v="15914" u="1"/>
        <n v="181" u="1"/>
        <n v="14874" u="1"/>
        <n v="203827" u="1"/>
        <n v="229796" u="1"/>
        <n v="280145" u="1"/>
        <n v="17272" u="1"/>
        <n v="282667" u="1"/>
        <n v="218703" u="1"/>
        <n v="264010" u="1"/>
        <n v="276112" u="1"/>
        <n v="275608" u="1"/>
        <n v="32" u="1"/>
        <n v="267036" u="1"/>
        <n v="122" u="1"/>
        <n v="21180" u="1"/>
        <n v="25214" u="1"/>
        <n v="219712" u="1"/>
        <n v="23134" u="1"/>
        <n v="189205" u="1"/>
        <n v="279643" u="1"/>
        <n v="264516" u="1"/>
        <n v="9611" u="1"/>
        <n v="18974" u="1"/>
        <n v="271576" u="1"/>
        <n v="271072" u="1"/>
        <n v="245934" u="1"/>
        <n v="209376" u="1"/>
        <n v="255767" u="1"/>
        <n v="261818" u="1"/>
        <n v="247447" u="1"/>
        <n v="269" u="1"/>
        <n v="186433" u="1"/>
        <n v="193997" u="1"/>
        <n v="230" u="1"/>
        <n v="191476" u="1"/>
        <n v="229799" u="1"/>
        <n v="264015" u="1"/>
        <n v="268049" u="1"/>
        <n v="24647" u="1"/>
        <n v="237111" u="1"/>
        <n v="170046" u="1"/>
        <n v="224253" u="1"/>
        <n v="224001" u="1"/>
        <n v="165" u="1"/>
        <n v="265026" u="1"/>
        <n v="16324" u="1"/>
        <n v="21275" u="1"/>
        <n v="255013" u="1"/>
        <n v="170047" u="1"/>
        <n v="208370" u="1"/>
        <n v="242659" u="1"/>
        <n v="191982" u="1"/>
        <n v="208118" u="1"/>
        <n v="248206" u="1"/>
        <n v="114" u="1"/>
        <n v="227532" u="1"/>
        <n v="25120" u="1"/>
        <n v="222742" u="1"/>
        <n v="244677" u="1"/>
        <n v="15615" u="1"/>
        <n v="211145" u="1"/>
        <n v="10021" u="1"/>
        <n v="206859" u="1"/>
        <n v="268056" u="1"/>
        <n v="8981" u="1"/>
        <n v="23765" u="1"/>
        <n v="214171" u="1"/>
        <n v="228038" u="1"/>
        <n v="214" u="1"/>
        <n v="221483" u="1"/>
        <n v="227534" u="1"/>
        <n v="18565" u="1"/>
        <n v="276630" u="1"/>
        <n v="275622" u="1"/>
        <n v="193750" u="1"/>
        <n v="250226" u="1"/>
        <n v="149" u="1"/>
        <n v="247705" u="1"/>
        <n v="249470" u="1"/>
        <n v="172320" u="1"/>
        <n v="246445" u="1"/>
        <n v="15757" u="1"/>
        <n v="28" u="1"/>
        <n v="106" u="1"/>
        <n v="23135" u="1"/>
        <n v="171060" u="1"/>
        <n v="189213" u="1"/>
        <n v="197281" u="1"/>
        <n v="207366" u="1"/>
        <n v="231570" u="1"/>
        <n v="170808" u="1"/>
        <n v="186944" u="1"/>
        <n v="229301" u="1"/>
        <n v="23009" u="1"/>
        <n v="14134" u="1"/>
        <n v="16151" u="1"/>
        <n v="270" u="1"/>
        <n v="243421" u="1"/>
        <n v="16025" u="1"/>
        <n v="218209" u="1"/>
        <n v="246447" u="1"/>
        <n v="22694" u="1"/>
        <n v="14985" u="1"/>
        <n v="227538" u="1"/>
        <n v="198" u="1"/>
        <n v="278655" u="1"/>
        <n v="170306" u="1"/>
        <n v="238632" u="1"/>
        <n v="13882" u="1"/>
        <n v="12322" u="1"/>
        <n v="193250" u="1"/>
        <n v="133" u="1"/>
        <n v="15316" u="1"/>
        <n v="282691" u="1"/>
        <n v="206613" u="1"/>
        <n v="171820" u="1"/>
        <n v="11219" u="1"/>
        <n v="195520" u="1"/>
        <n v="26" u="1"/>
        <n v="233591" u="1"/>
        <n v="98" u="1"/>
        <n v="277146" u="1"/>
        <n v="16990" u="1"/>
        <n v="21024" u="1"/>
        <n v="258804" u="1"/>
        <n v="206110" u="1"/>
        <n v="212161" u="1"/>
        <n v="240399" u="1"/>
        <n v="17904" u="1"/>
        <n v="207371" u="1"/>
        <n v="217456" u="1"/>
        <n v="15584" u="1"/>
        <n v="11030" u="1"/>
        <n v="15064" u="1"/>
        <n v="24743" u="1"/>
        <n v="216196" u="1"/>
        <n v="279166" u="1"/>
        <n v="197539" u="1"/>
        <n v="171066" u="1"/>
        <n v="201321" u="1"/>
        <n v="247712" u="1"/>
        <n v="182" u="1"/>
        <n v="231072" u="1"/>
        <n v="204599" u="1"/>
        <n v="234602" u="1"/>
        <n v="254772" u="1"/>
        <n v="169806" u="1"/>
        <n v="11818" u="1"/>
        <n v="197288" u="1"/>
        <n v="237628" u="1"/>
        <n v="170815" u="1"/>
        <n v="196784" u="1"/>
        <n v="212416" u="1"/>
        <n v="218467" u="1"/>
        <n v="15269" u="1"/>
        <n v="181657" u="1"/>
        <n v="187456" u="1"/>
        <n v="205609" u="1"/>
        <n v="249731" u="1"/>
        <n v="24" u="1"/>
        <n v="90" u="1"/>
        <n v="230570" u="1"/>
        <n v="273625" u="1"/>
        <n v="271" u="1"/>
        <n v="223511" u="1"/>
        <n v="17810" u="1"/>
        <n v="231327" u="1"/>
        <n v="214939" u="1"/>
        <n v="231" u="1"/>
        <n v="16057" u="1"/>
        <n v="194517" u="1"/>
        <n v="16644" u="1"/>
        <n v="11960" u="1"/>
        <n v="175356" u="1"/>
        <n v="223512" u="1"/>
        <n v="16518" u="1"/>
        <n v="20552" u="1"/>
        <n v="225025" u="1"/>
        <n v="276654" u="1"/>
        <n v="166" u="1"/>
        <n v="9880" u="1"/>
        <n v="15931" u="1"/>
        <n v="230572" u="1"/>
        <n v="11834" u="1"/>
        <n v="272117" u="1"/>
        <n v="11314" u="1"/>
        <n v="173088" u="1"/>
        <n v="243179" u="1"/>
        <n v="19260" u="1"/>
        <n v="210655" u="1"/>
        <n v="255029" u="1"/>
        <n v="273631" u="1"/>
        <n v="211916" u="1"/>
        <n v="254273" u="1"/>
        <n v="179392" u="1"/>
        <n v="189477" u="1"/>
        <n v="23105" u="1"/>
        <n v="227296" u="1"/>
        <n v="22" u="1"/>
        <n v="16199" u="1"/>
        <n v="82" u="1"/>
        <n v="206622" u="1"/>
        <n v="19985" u="1"/>
        <n v="232591" u="1"/>
        <n v="282710" u="1"/>
        <n v="187461" u="1"/>
        <n v="233600" u="1"/>
        <n v="18819" u="1"/>
        <n v="239399" u="1"/>
        <n v="250997" u="1"/>
        <n v="274139" u="1"/>
        <n v="215" u="1"/>
        <n v="214439" u="1"/>
        <n v="218221" u="1"/>
        <n v="22664" u="1"/>
        <n v="270106" u="1"/>
        <n v="15947" u="1"/>
        <n v="200825" u="1"/>
        <n v="16487" u="1"/>
        <n v="242930" u="1"/>
        <n v="150" u="1"/>
        <n v="2146" u="1"/>
        <n v="13867" u="1"/>
        <n v="20395" u="1"/>
        <n v="17338" u="1"/>
        <n v="219483" u="1"/>
        <n v="215197" u="1"/>
        <n v="247469" u="1"/>
        <n v="186707" u="1"/>
        <n v="216962" u="1"/>
        <n v="246209" u="1"/>
        <n v="186708" u="1"/>
        <n v="20" u="1"/>
        <n v="178388" u="1"/>
        <n v="74" u="1"/>
        <n v="272" u="1"/>
        <n v="218224" u="1"/>
        <n v="232343" u="1"/>
        <n v="25879" u="1"/>
        <n v="253018" u="1"/>
        <n v="199" u="1"/>
        <n v="17685" u="1"/>
        <n v="183936" u="1"/>
        <n v="17622" u="1"/>
        <n v="257557" u="1"/>
        <n v="279191" u="1"/>
        <n v="200829" u="1"/>
        <n v="17496" u="1"/>
        <n v="23547" u="1"/>
        <n v="2150" u="1"/>
        <n v="176121" u="1"/>
        <n v="134" u="1"/>
        <n v="269612" u="1"/>
        <n v="202595" u="1"/>
        <n v="214697" u="1"/>
        <n v="210411" u="1"/>
        <n v="265075" u="1"/>
        <n v="177635" u="1"/>
        <n v="197805" u="1"/>
        <n v="21152" u="1"/>
        <n v="227808" u="1"/>
        <n v="172341" u="1"/>
        <n v="18" u="1"/>
        <n v="216463" u="1"/>
        <n v="234616" u="1"/>
        <n v="275666" u="1"/>
        <n v="66" u="1"/>
        <n v="185956" u="1"/>
        <n v="215707" u="1"/>
        <n v="12071" u="1"/>
        <n v="17843" u="1"/>
        <n v="167047" u="1"/>
        <n v="15585" u="1"/>
        <n v="11031" u="1"/>
        <n v="227053" u="1"/>
        <n v="244702" u="1"/>
        <n v="183" u="1"/>
        <n v="228062" u="1"/>
        <n v="215708" u="1"/>
        <n v="169065" u="1"/>
        <n v="13442" u="1"/>
        <n v="216969" u="1"/>
        <n v="20522" u="1"/>
        <n v="261091" u="1"/>
        <n v="220247" u="1"/>
        <n v="244451" u="1"/>
        <n v="123" u="1"/>
        <n v="17402" u="1"/>
        <n v="199825" u="1"/>
        <n v="20396" u="1"/>
        <n v="217474" u="1"/>
        <n v="231341" u="1"/>
        <n v="263065" u="1"/>
        <n v="269116" u="1"/>
        <n v="168310" u="1"/>
        <n v="17213" u="1"/>
        <n v="25155" u="1"/>
        <n v="259832" u="1"/>
        <n v="273" u="1"/>
        <n v="222770" u="1"/>
        <n v="242688" u="1"/>
        <n v="254790" u="1"/>
        <n v="16" u="1"/>
        <n v="234368" u="1"/>
        <n v="61" u="1"/>
        <n v="232" u="1"/>
        <n v="15081" u="1"/>
        <n v="25880" u="1"/>
        <n v="220502" u="1"/>
        <n v="242689" u="1"/>
        <n v="167" u="1"/>
        <n v="264079" u="1"/>
        <n v="208905" u="1"/>
        <n v="216721" u="1"/>
        <n v="240925" u="1"/>
        <n v="20491" u="1"/>
        <n v="181676" u="1"/>
        <n v="266602" u="1"/>
        <n v="115" u="1"/>
        <n v="18285" u="1"/>
        <n v="20239" u="1"/>
        <n v="174113" u="1"/>
        <n v="208402" u="1"/>
        <n v="247986" u="1"/>
        <n v="24147" u="1"/>
        <n v="219244" u="1"/>
        <n v="257315" u="1"/>
        <n v="16993" u="1"/>
        <n v="226808" u="1"/>
        <n v="194284" u="1"/>
        <n v="271648" u="1"/>
        <n v="214202" u="1"/>
        <n v="15" u="1"/>
        <n v="57" u="1"/>
        <n v="13600" u="1"/>
        <n v="24935" u="1"/>
        <n v="216" u="1"/>
        <n v="241684" u="1"/>
        <n v="168568" u="1"/>
        <n v="204622" u="1"/>
        <n v="232860" u="1"/>
        <n v="242441" u="1"/>
        <n v="151" u="1"/>
        <n v="225297" u="1"/>
        <n v="235382" u="1"/>
        <n v="15948" u="1"/>
        <n v="278207" u="1"/>
        <n v="202354" u="1"/>
        <n v="271652" u="1"/>
        <n v="16342" u="1"/>
        <n v="20334" u="1"/>
        <n v="21311" u="1"/>
        <n v="182689" u="1"/>
        <n v="243199" u="1"/>
        <n v="208658" u="1"/>
        <n v="273671" u="1"/>
        <n v="13742" u="1"/>
        <n v="260344" u="1"/>
        <n v="12702" u="1"/>
        <n v="175126" u="1"/>
        <n v="274" u="1"/>
        <n v="12182" u="1"/>
        <n v="239418" u="1"/>
        <n v="11662" u="1"/>
        <n v="237149" u="1"/>
        <n v="251268" u="1"/>
        <n v="13159" u="1"/>
        <n v="257067" u="1"/>
        <n v="176135" u="1"/>
        <n v="265605" u="1"/>
        <n v="275690" u="1"/>
        <n v="277707" u="1"/>
        <n v="238410" u="1"/>
        <n v="15633" u="1"/>
        <n v="14" u="1"/>
        <n v="227821" u="1"/>
        <n v="53" u="1"/>
        <n v="209416" u="1"/>
        <n v="255807" u="1"/>
        <n v="25881" u="1"/>
        <n v="184960" u="1"/>
        <n v="226561" u="1"/>
        <n v="11993" u="1"/>
        <n v="16647" u="1"/>
        <n v="274684" u="1"/>
        <n v="24652" u="1"/>
        <n v="135" u="1"/>
        <n v="15964" u="1"/>
        <n v="23612" u="1"/>
        <n v="168825" u="1"/>
        <n v="229335" u="1"/>
        <n v="15444" u="1"/>
        <n v="194542" u="1"/>
        <n v="228075" u="1"/>
        <n v="99" u="1"/>
        <n v="9267" u="1"/>
        <n v="270149" u="1"/>
        <n v="24274" u="1"/>
        <n v="1262" u="1"/>
        <n v="1197" u="1"/>
        <n v="181685" u="1"/>
        <n v="249" u="1"/>
        <n v="18034" u="1"/>
        <n v="249255" u="1"/>
        <n v="262587" u="1"/>
        <n v="23959" u="1"/>
        <n v="181686" u="1"/>
        <n v="13" u="1"/>
        <n v="49" u="1"/>
        <n v="184" u="1"/>
        <n v="16043" u="1"/>
        <n v="21753" u="1"/>
        <n v="24747" u="1"/>
        <n v="213959" u="1"/>
        <n v="215724" u="1"/>
        <n v="180931" u="1"/>
        <n v="180679" u="1"/>
        <n v="223036" u="1"/>
        <n v="20524" u="1"/>
        <n v="196311" u="1"/>
        <n v="222532" u="1"/>
        <n v="183957" u="1"/>
        <n v="238416" u="1"/>
        <n v="173620" u="1"/>
        <n v="215725" u="1"/>
        <n v="274190" u="1"/>
        <n v="251779" u="1"/>
        <n v="91" u="1"/>
        <n v="178411" u="1"/>
        <n v="240938" u="1"/>
        <n v="274191" u="1"/>
        <n v="184210" u="1"/>
        <n v="17152" u="1"/>
        <n v="275" u="1"/>
        <n v="233" u="1"/>
        <n v="194548" u="1"/>
        <n v="184211" u="1"/>
        <n v="23928" u="1"/>
        <n v="250016" u="1"/>
        <n v="221526" u="1"/>
        <n v="12" u="1"/>
        <n v="180934" u="1"/>
        <n v="203121" u="1"/>
        <n v="221274" u="1"/>
        <n v="45" u="1"/>
        <n v="10528" u="1"/>
        <n v="237158" u="1"/>
        <n v="168" u="1"/>
        <n v="23802" u="1"/>
        <n v="190515" u="1"/>
        <n v="224552" u="1"/>
        <n v="232620" u="1"/>
        <n v="187994" u="1"/>
        <n v="207912" u="1"/>
        <n v="217997" u="1"/>
        <n v="231864" u="1"/>
        <n v="273692" u="1"/>
        <n v="245227" u="1"/>
        <n v="16459" u="1"/>
        <n v="230100" u="1"/>
        <n v="17373" u="1"/>
        <n v="17310" u="1"/>
        <n v="247245" u="1"/>
        <n v="83" u="1"/>
        <n v="12750" u="1"/>
        <n v="210183" u="1"/>
        <n v="254557" u="1"/>
        <n v="230101" u="1"/>
        <n v="231866" u="1"/>
        <n v="255314" u="1"/>
        <n v="217" u="1"/>
        <n v="12624" u="1"/>
        <n v="242456" u="1"/>
        <n v="9047" u="1"/>
        <n v="197326" u="1"/>
        <n v="11" u="1"/>
        <n v="41" u="1"/>
        <n v="152" u="1"/>
        <n v="21754" u="1"/>
        <n v="24748" u="1"/>
        <n v="13995" u="1"/>
        <n v="224052" u="1"/>
        <n v="246239" u="1"/>
        <n v="12955" u="1"/>
        <n v="273700" u="1"/>
        <n v="17531" u="1"/>
        <n v="231112" u="1"/>
        <n v="16491" u="1"/>
        <n v="277735" u="1"/>
        <n v="273197" u="1"/>
        <n v="207413" u="1"/>
        <n v="75" u="1"/>
        <n v="276" u="1"/>
        <n v="228088" u="1"/>
        <n v="248258" u="1"/>
        <n v="270678" u="1"/>
        <n v="12703" u="1"/>
        <n v="277738" u="1"/>
        <n v="226576" u="1"/>
        <n v="252797" u="1"/>
        <n v="201" u="1"/>
        <n v="277235" u="1"/>
        <n v="222038" u="1"/>
        <n v="227837" u="1"/>
        <n v="256075" u="1"/>
        <n v="270176" u="1"/>
        <n v="25883" u="1"/>
        <n v="176908" u="1"/>
        <n v="268664" u="1"/>
        <n v="270681" u="1"/>
        <n v="37" u="1"/>
        <n v="10497" u="1"/>
        <n v="210441" u="1"/>
        <n v="136" u="1"/>
        <n v="220274" u="1"/>
        <n v="258597" u="1"/>
        <n v="277237" u="1"/>
        <n v="185481" u="1"/>
        <n v="17563" u="1"/>
        <n v="166824" u="1"/>
        <n v="16523" u="1"/>
        <n v="178674" u="1"/>
        <n v="258598" u="1"/>
        <n v="23425" u="1"/>
        <n v="221536" u="1"/>
        <n v="269172" u="1"/>
        <n v="1205" u="1"/>
        <n v="22259" u="1"/>
        <n v="184222" u="1"/>
        <n v="67" u="1"/>
        <n v="210191" u="1"/>
        <n v="260616" u="1"/>
        <n v="250" u="1"/>
        <n v="189769" u="1"/>
        <n v="260364" u="1"/>
        <n v="12719" u="1"/>
        <n v="227840" u="1"/>
        <n v="250027" u="1"/>
        <n v="199350" u="1"/>
        <n v="231622" u="1"/>
        <n v="4373" u="1"/>
        <n v="224815" u="1"/>
        <n v="185" u="1"/>
        <n v="14610" u="1"/>
        <n v="229606" u="1"/>
        <n v="231623" u="1"/>
        <n v="196830" u="1"/>
        <n v="255071" u="1"/>
        <n v="9" u="1"/>
        <n v="33" u="1"/>
        <n v="228346" u="1"/>
        <n v="124" u="1"/>
        <n v="272203" u="1"/>
        <n v="279767" u="1"/>
        <n v="20589" u="1"/>
        <n v="172879" u="1"/>
        <n v="10387" u="1"/>
        <n v="238936" u="1"/>
        <n v="15918" u="1"/>
        <n v="14878" u="1"/>
        <n v="276743" u="1"/>
        <n v="19360" u="1"/>
        <n v="189268" u="1"/>
        <n v="271701" u="1"/>
        <n v="184730" u="1"/>
        <n v="277" u="1"/>
        <n v="29319" u="1"/>
        <n v="191790" u="1"/>
        <n v="234" u="1"/>
        <n v="195572" u="1"/>
        <n v="197589" u="1"/>
        <n v="203640" u="1"/>
        <n v="15209" u="1"/>
        <n v="23079" u="1"/>
        <n v="248771" u="1"/>
        <n v="169" u="1"/>
        <n v="15083" u="1"/>
        <n v="23867" u="1"/>
        <n v="229358" u="1"/>
        <n v="270697" u="1"/>
        <n v="16713" u="1"/>
        <n v="8" u="1"/>
        <n v="198095" u="1"/>
        <n v="232384" u="1"/>
        <n v="258605" u="1"/>
        <n v="244234" u="1"/>
        <n v="270698" u="1"/>
        <n v="116" u="1"/>
        <n v="23678" u="1"/>
        <n v="215744" u="1"/>
        <n v="266160" u="1"/>
        <n v="16587" u="1"/>
        <n v="253563" u="1"/>
        <n v="219022" u="1"/>
        <n v="204651" u="1"/>
        <n v="238688" u="1"/>
        <n v="12877" u="1"/>
        <n v="15871" u="1"/>
        <n v="25443" u="1"/>
        <n v="264145" u="1"/>
        <n v="15808" u="1"/>
        <n v="190281" u="1"/>
        <n v="226587" u="1"/>
        <n v="277761" u="1"/>
        <n v="267172" u="1"/>
        <n v="14248" u="1"/>
        <n v="18163" u="1"/>
        <n v="230117" u="1"/>
        <n v="218" u="1"/>
        <n v="205409" u="1"/>
        <n v="244741" u="1"/>
        <n v="258860" u="1"/>
        <n v="263644" u="1"/>
        <n v="13602" u="1"/>
        <n v="268183" u="1"/>
        <n v="153" u="1"/>
        <n v="15099" u="1"/>
        <n v="17848" u="1"/>
        <n v="8528" u="1"/>
        <n v="189022" u="1"/>
        <n v="16745" u="1"/>
        <n v="206671" u="1"/>
        <n v="14516" u="1"/>
        <n v="16682" u="1"/>
        <n v="13476" u="1"/>
        <n v="219782" u="1"/>
        <n v="108" u="1"/>
        <n v="254576" u="1"/>
        <n v="15887" u="1"/>
        <n v="231885" u="1"/>
        <n v="169106" u="1"/>
        <n v="278" u="1"/>
        <n v="166837" u="1"/>
        <n v="215245" u="1"/>
        <n v="223313" u="1"/>
        <n v="200874" u="1"/>
        <n v="241214" u="1"/>
        <n v="8213" u="1"/>
        <n v="216002" u="1"/>
        <n v="238189" u="1"/>
        <n v="202" u="1"/>
        <n v="215246" u="1"/>
        <n v="241467" u="1"/>
        <n v="23080" u="1"/>
        <n v="217011" u="1"/>
        <n v="13161" u="1"/>
        <n v="196589" u="1"/>
        <n v="270207" u="1"/>
        <n v="180201" u="1"/>
        <n v="216507" u="1"/>
        <n v="12121" u="1"/>
        <n v="14138" u="1"/>
        <n v="279284" u="1"/>
        <n v="22954" u="1"/>
        <n v="197850" u="1"/>
        <n v="239955" u="1"/>
        <n v="137" u="1"/>
        <n v="217264" u="1"/>
        <n v="219281" u="1"/>
        <n v="227349" u="1"/>
        <n v="182723" u="1"/>
        <n v="234913" u="1"/>
        <n v="251049" u="1"/>
        <n v="186253" u="1"/>
        <n v="216508" u="1"/>
        <n v="18605" u="1"/>
        <n v="175160" u="1"/>
        <n v="100" u="1"/>
        <n v="13949" u="1"/>
        <n v="182976" u="1"/>
        <n v="16525" u="1"/>
        <n v="214996" u="1"/>
        <n v="206676" u="1"/>
        <n v="256849" u="1"/>
        <n v="277775" u="1"/>
        <n v="216005" u="1"/>
        <n v="4468" u="1"/>
        <n v="251" u="1"/>
        <n v="234663" u="1"/>
        <n v="277777" u="1"/>
        <n v="179952" u="1"/>
        <n v="14217" u="1"/>
        <n v="16234" u="1"/>
        <n v="20118" u="1"/>
        <n v="17061" u="1"/>
        <n v="166842" u="1"/>
        <n v="186" u="1"/>
        <n v="16998" u="1"/>
        <n v="264164" u="1"/>
        <n v="273745" u="1"/>
        <n v="12594" u="1"/>
        <n v="167347" u="1"/>
        <n v="248027" u="1"/>
        <n v="17849" u="1"/>
        <n v="15588" u="1"/>
        <n v="225336" u="1"/>
        <n v="15068" u="1"/>
        <n v="17786" u="1"/>
        <n v="198611" u="1"/>
        <n v="207940" u="1"/>
        <n v="185249" u="1"/>
        <n v="195082" u="1"/>
        <n v="92" u="1"/>
        <n v="16494" u="1"/>
        <n v="194578" u="1"/>
        <n v="178190" u="1"/>
        <n v="273749" u="1"/>
        <n v="14879" u="1"/>
        <n v="205924" u="1"/>
        <n v="258366" u="1"/>
        <n v="279" u="1"/>
        <n v="18385" u="1"/>
        <n v="235927" u="1"/>
        <n v="233658" u="1"/>
        <n v="276776" u="1"/>
        <n v="235" u="1"/>
        <n v="226851" u="1"/>
        <n v="272238" u="1"/>
        <n v="230381" u="1"/>
        <n v="19173" u="1"/>
        <n v="232146" u="1"/>
        <n v="258367" u="1"/>
        <n v="257611" u="1"/>
        <n v="225087" u="1"/>
        <n v="170" u="1"/>
        <n v="14170" u="1"/>
        <n v="18007" u="1"/>
        <n v="198614" u="1"/>
        <n v="11633" u="1"/>
        <n v="22955" u="1"/>
        <n v="209456" u="1"/>
        <n v="233408" u="1"/>
        <n v="228870" u="1"/>
        <n v="9427" u="1"/>
        <n v="6" u="1"/>
        <n v="221307" u="1"/>
        <n v="22577" u="1"/>
        <n v="84" u="1"/>
        <n v="261143" u="1"/>
        <n v="224081" u="1"/>
        <n v="181472" u="1"/>
        <n v="195591" u="1"/>
        <n v="173152" u="1"/>
        <n v="175169" u="1"/>
        <n v="193322" u="1"/>
        <n v="263673" u="1"/>
        <n v="16329" u="1"/>
        <n v="202903" u="1"/>
        <n v="17251" u="1"/>
        <n v="219" u="1"/>
        <n v="18165" u="1"/>
        <n v="185759" u="1"/>
        <n v="211980" u="1"/>
        <n v="217779" u="1"/>
        <n v="271743" u="1"/>
        <n v="21033" u="1"/>
        <n v="154" u="1"/>
        <n v="210216" u="1"/>
        <n v="191811" u="1"/>
        <n v="269224" u="1"/>
        <n v="19804" u="1"/>
        <n v="204922" u="1"/>
        <n v="9506" u="1"/>
        <n v="19678" u="1"/>
        <n v="270738" u="1"/>
        <n v="14974" u="1"/>
        <n v="76" u="1"/>
        <n v="258878" u="1"/>
        <n v="280" u="1"/>
        <n v="232405" u="1"/>
        <n v="15888" u="1"/>
        <n v="20403" u="1"/>
        <n v="268219" u="1"/>
        <n v="21380" u="1"/>
        <n v="213496" u="1"/>
        <n v="251819" u="1"/>
        <n v="170383" u="1"/>
        <n v="218791" u="1"/>
        <n v="240978" u="1"/>
        <n v="272254" u="1"/>
        <n v="203" u="1"/>
        <n v="25225" u="1"/>
        <n v="22168" u="1"/>
        <n v="24185" u="1"/>
        <n v="26202" u="1"/>
        <n v="14202" u="1"/>
        <n v="186772" u="1"/>
        <n v="253333" u="1"/>
        <n v="176435" u="1"/>
        <n v="242744" u="1"/>
        <n v="138" u="1"/>
        <n v="26013" u="1"/>
        <n v="214002" u="1"/>
        <n v="225852" u="1"/>
        <n v="223331" u="1"/>
        <n v="253334" u="1"/>
        <n v="272762" u="1"/>
        <n v="216524" u="1"/>
        <n v="171898" u="1"/>
        <n v="216020" u="1"/>
        <n v="266712" u="1"/>
        <n v="272763" u="1"/>
        <n v="197615" u="1"/>
        <n v="18607" u="1"/>
        <n v="193329" u="1"/>
        <n v="15967" u="1"/>
        <n v="23618" u="1"/>
        <n v="235182" u="1"/>
        <n v="5" u="1"/>
        <n v="216777" u="1"/>
        <n v="212491" u="1"/>
        <n v="68" u="1"/>
        <n v="175933" u="1"/>
        <n v="190052" u="1"/>
        <n v="252" u="1"/>
        <n v="234174" u="1"/>
        <n v="280833" u="1"/>
        <n v="280329" u="1"/>
        <n v="239721" u="1"/>
        <n v="25320" u="1"/>
        <n v="272262" u="1"/>
        <n v="202407" u="1"/>
        <n v="275792" u="1"/>
        <n v="210223" u="1"/>
        <n v="187" u="1"/>
        <n v="22200" u="1"/>
        <n v="21034" u="1"/>
        <n v="253085" u="1"/>
        <n v="204425" u="1"/>
        <n v="244765" u="1"/>
        <n v="271256" u="1"/>
        <n v="125" u="1"/>
        <n v="228125" u="1"/>
        <n v="18891" u="1"/>
        <n v="276299" u="1"/>
        <n v="18828" u="1"/>
        <n v="271257" u="1"/>
        <n v="172658" u="1"/>
        <n v="192828" u="1"/>
        <n v="266719" u="1"/>
        <n v="204678" u="1"/>
        <n v="186273" u="1"/>
        <n v="66773" u="1"/>
        <n v="281343" u="1"/>
        <n v="203922" u="1"/>
        <n v="266720" u="1"/>
        <n v="203670" u="1"/>
        <n v="278318" u="1"/>
        <n v="271763" u="1"/>
        <n v="281" u="1"/>
        <n v="220563" u="1"/>
        <n v="62" u="1"/>
        <n v="236" u="1"/>
        <n v="261912" u="1"/>
        <n v="184510" u="1"/>
        <n v="234935" u="1"/>
        <n v="245020" u="1"/>
        <n v="23272" u="1"/>
        <n v="15274" u="1"/>
        <n v="171904" u="1"/>
        <n v="171" u="1"/>
        <n v="173417" u="1"/>
        <n v="183502" u="1"/>
        <n v="278322" u="1"/>
        <n v="185267" u="1"/>
        <n v="205437" u="1"/>
        <n v="269750" u="1"/>
        <n v="12674" u="1"/>
        <n v="11634" u="1"/>
        <n v="198126" u="1"/>
        <n v="117" u="1"/>
        <n v="276812" u="1"/>
        <n v="214767" u="1"/>
        <n v="187286" u="1"/>
        <n v="241493" u="1"/>
        <n v="16528" u="1"/>
        <n v="18545" u="1"/>
        <n v="259394" u="1"/>
        <n v="264712" u="1"/>
        <n v="175689" u="1"/>
        <n v="270764" u="1"/>
        <n v="58" u="1"/>
        <n v="220" u="1"/>
        <n v="217290" u="1"/>
        <n v="239477" u="1"/>
        <n v="237208" u="1"/>
        <n v="25321" u="1"/>
        <n v="224854" u="1"/>
        <n v="174177" u="1"/>
        <n v="224602" u="1"/>
        <n v="12753" u="1"/>
        <n v="226367" u="1"/>
        <n v="260656" u="1"/>
        <n v="277321" u="1"/>
        <n v="175690" u="1"/>
        <n v="155" u="1"/>
        <n v="24155" u="1"/>
        <n v="199138" u="1"/>
        <n v="170396" u="1"/>
        <n v="267742" u="1"/>
        <n v="19932" u="1"/>
        <n v="197878" u="1"/>
        <n v="248051" u="1"/>
        <n v="109" u="1"/>
        <n v="203173" u="1"/>
        <n v="19806" u="1"/>
        <n v="9507" u="1"/>
        <n v="14518" u="1"/>
        <n v="187794" u="1"/>
        <n v="19617" u="1"/>
        <n v="282" u="1"/>
        <n v="12438" u="1"/>
        <n v="18514" u="1"/>
        <n v="214772" u="1"/>
        <n v="179979" u="1"/>
        <n v="242506" u="1"/>
        <n v="187795" u="1"/>
        <n v="22422" u="1"/>
        <n v="252087" u="1"/>
        <n v="54" u="1"/>
        <n v="179223" u="1"/>
        <n v="229648" u="1"/>
        <n v="251835" u="1"/>
        <n v="204" u="1"/>
        <n v="198889" u="1"/>
        <n v="20279" u="1"/>
        <n v="23273" u="1"/>
        <n v="228640" u="1"/>
        <n v="201915" u="1"/>
        <n v="20153" u="1"/>
        <n v="203680" u="1"/>
        <n v="139" u="1"/>
        <n v="20027" u="1"/>
        <n v="220825" u="1"/>
        <n v="226876" u="1"/>
        <n v="243012" u="1"/>
        <n v="242760" u="1"/>
        <n v="16157" u="1"/>
        <n v="23998" u="1"/>
        <n v="11603" u="1"/>
        <n v="187797" u="1"/>
        <n v="250324" u="1"/>
        <n v="11083" u="1"/>
        <n v="15117" u="1"/>
        <n v="242004" u="1"/>
        <n v="231667" u="1"/>
        <n v="235701" u="1"/>
        <n v="263717" u="1"/>
        <n v="101" u="1"/>
        <n v="10043" u="1"/>
        <n v="25889" u="1"/>
        <n v="16718" u="1"/>
        <n v="281871" u="1"/>
        <n v="181747" u="1"/>
        <n v="236206" u="1"/>
        <n v="253" u="1"/>
        <n v="228391" u="1"/>
        <n v="22454" u="1"/>
        <n v="221836" u="1"/>
        <n v="20374" u="1"/>
        <n v="50" u="1"/>
        <n v="17317" u="1"/>
        <n v="188" u="1"/>
        <n v="18294" u="1"/>
        <n v="173933" u="1"/>
        <n v="230409" u="1"/>
        <n v="222089" u="1"/>
        <n v="14739" u="1"/>
        <n v="17128" u="1"/>
        <n v="24156" u="1"/>
        <n v="11682" u="1"/>
        <n v="212509" u="1"/>
        <n v="279860" u="1"/>
        <n v="202172" u="1"/>
        <n v="230410" u="1"/>
        <n v="171161" u="1"/>
        <n v="255623" u="1"/>
        <n v="93" u="1"/>
        <n v="15070" u="1"/>
        <n v="16750" u="1"/>
        <n v="18767" u="1"/>
        <n v="220830" u="1"/>
        <n v="17727" u="1"/>
        <n v="230663" u="1"/>
        <n v="256884" u="1"/>
        <n v="15007" u="1"/>
        <n v="283" u="1"/>
        <n v="177465" u="1"/>
        <n v="23589" u="1"/>
        <n v="192845" u="1"/>
        <n v="237" u="1"/>
        <n v="18515" u="1"/>
        <n v="261171" u="1"/>
        <n v="11887" u="1"/>
        <n v="198392" u="1"/>
        <n v="24503" u="1"/>
        <n v="8830" u="1"/>
        <n v="246296" u="1"/>
        <n v="272805" u="1"/>
        <n v="46" u="1"/>
        <n v="14818" u="1"/>
        <n v="17286" u="1"/>
        <n v="172" u="1"/>
        <n v="17223" u="1"/>
        <n v="19240" u="1"/>
        <n v="218563" u="1"/>
        <n v="204192" u="1"/>
        <n v="246297" u="1"/>
        <n v="211504" u="1"/>
        <n v="174946" u="1"/>
        <n v="228649" u="1"/>
        <n v="12612" u="1"/>
        <n v="16908" u="1"/>
        <n v="260417" u="1"/>
        <n v="10075" u="1"/>
        <n v="219825" u="1"/>
        <n v="18862" u="1"/>
        <n v="21856" u="1"/>
        <n v="85" u="1"/>
        <n v="168392" u="1"/>
        <n v="13526" u="1"/>
        <n v="190075" u="1"/>
        <n v="240500" u="1"/>
        <n v="16656" u="1"/>
        <n v="282392" u="1"/>
        <n v="14440" u="1"/>
        <n v="17507" u="1"/>
        <n v="188563" u="1"/>
        <n v="221" u="1"/>
        <n v="10343" u="1"/>
        <n v="175705" u="1"/>
        <n v="249830" u="1"/>
        <n v="3" u="1"/>
        <n v="42" u="1"/>
        <n v="222853" u="1"/>
        <n v="234955" u="1"/>
        <n v="156" u="1"/>
        <n v="10737" u="1"/>
        <n v="17192" u="1"/>
        <n v="16268" u="1"/>
        <n v="20186" u="1"/>
        <n v="181757" u="1"/>
        <n v="15748" u="1"/>
        <n v="19997" u="1"/>
        <n v="208483" u="1"/>
        <n v="12628" u="1"/>
        <n v="210248" u="1"/>
        <n v="242016" u="1"/>
        <n v="15102" u="1"/>
        <n v="259917" u="1"/>
        <n v="172934" u="1"/>
        <n v="268784" u="1"/>
        <n v="1235" u="1"/>
        <n v="184532" u="1"/>
        <n v="261178" u="1"/>
        <n v="77" u="1"/>
        <n v="13022" u="1"/>
        <n v="284" u="1"/>
        <n v="258657" u="1"/>
        <n v="274836" u="1"/>
        <n v="13479" u="1"/>
        <n v="254119" u="1"/>
        <n v="266264" u="1"/>
        <n v="211006" u="1"/>
        <n v="233193" u="1"/>
        <n v="216805" u="1"/>
        <n v="180247" u="1"/>
        <n v="263744" u="1"/>
        <n v="273829" u="1"/>
        <n v="205" u="1"/>
        <n v="189828" u="1"/>
        <n v="252355" u="1"/>
        <n v="11336" u="1"/>
        <n v="13353" u="1"/>
        <n v="266266" u="1"/>
        <n v="169154" u="1"/>
        <n v="171171" u="1"/>
        <n v="233698" u="1"/>
        <n v="20344" u="1"/>
        <n v="17287" u="1"/>
        <n v="212772" u="1"/>
        <n v="224874" u="1"/>
        <n v="38" u="1"/>
        <n v="174197" u="1"/>
        <n v="140" u="1"/>
        <n v="2116" u="1"/>
        <n v="190081" u="1"/>
        <n v="200166" u="1"/>
        <n v="260676" u="1"/>
        <n v="9713" u="1"/>
        <n v="12707" u="1"/>
        <n v="17098" u="1"/>
        <n v="281396" u="1"/>
        <n v="217059" u="1"/>
        <n v="232943" u="1"/>
        <n v="251096" u="1"/>
        <n v="21006" u="1"/>
        <n v="170164" u="1"/>
        <n v="236725" u="1"/>
        <n v="265765" u="1"/>
        <n v="16909" u="1"/>
        <n v="179745" u="1"/>
        <n v="225884" u="1"/>
        <n v="219581" u="1"/>
        <n v="1237" u="1"/>
        <n v="69" u="1"/>
        <n v="254" u="1"/>
        <n v="201681" u="1"/>
        <n v="272323" u="1"/>
        <n v="16594" u="1"/>
        <n v="281400" u="1"/>
        <n v="11872" u="1"/>
        <n v="167897" u="1"/>
        <n v="190084" u="1"/>
        <n v="189" u="1"/>
        <n v="185042" u="1"/>
        <n v="209246" u="1"/>
        <n v="15323" u="1"/>
        <n v="174705" u="1"/>
        <n v="241266" u="1"/>
        <n v="264258" u="1"/>
        <n v="168150" u="1"/>
        <n v="34" u="1"/>
        <n v="281403" u="1"/>
        <n v="126" u="1"/>
        <n v="22204" u="1"/>
        <n v="187816" u="1"/>
        <n v="12723" u="1"/>
        <n v="179496" u="1"/>
        <n v="219584" u="1"/>
        <n v="267789" u="1"/>
        <n v="211264" u="1"/>
        <n v="25072" u="1"/>
        <n v="236729" u="1"/>
        <n v="16941" u="1"/>
        <n v="192103" u="1"/>
        <n v="187817" u="1"/>
        <n v="189834" u="1"/>
        <n v="229922" u="1"/>
        <n v="219081" u="1"/>
        <n v="285" u="1"/>
        <n v="245050" u="1"/>
        <n v="259169" u="1"/>
        <n v="240764" u="1"/>
        <n v="210005" u="1"/>
        <n v="280903" u="1"/>
        <n v="238" u="1"/>
        <n v="264263" u="1"/>
        <n v="197399" u="1"/>
        <n v="20534" u="1"/>
        <n v="172439" u="1"/>
        <n v="206728" u="1"/>
        <n v="18454" u="1"/>
        <n v="173" u="1"/>
        <n v="16379" u="1"/>
        <n v="179499" u="1"/>
        <n v="168406" u="1"/>
        <n v="182273" u="1"/>
        <n v="20219" u="1"/>
        <n v="214293" u="1"/>
        <n v="31" u="1"/>
        <n v="118" u="1"/>
        <n v="16253" u="1"/>
        <n v="185299" u="1"/>
        <n v="267797" u="1"/>
        <n v="17036" u="1"/>
        <n v="182778" u="1"/>
        <n v="257407" u="1"/>
        <n v="212781" u="1"/>
        <n v="173954" u="1"/>
        <n v="177988" u="1"/>
        <n v="14630" u="1"/>
        <n v="24978" u="1"/>
        <n v="257912" u="1"/>
        <n v="227405" u="1"/>
        <n v="182779" u="1"/>
        <n v="204966" u="1"/>
        <n v="234969" u="1"/>
        <n v="208496" u="1"/>
        <n v="171686" u="1"/>
        <n v="238247" u="1"/>
        <n v="222" u="1"/>
        <n v="269314" u="1"/>
        <n v="190596" u="1"/>
        <n v="228919" u="1"/>
        <n v="22520" u="1"/>
        <n v="224633" u="1"/>
        <n v="195891" u="1"/>
        <n v="201942" u="1"/>
        <n v="157" u="1"/>
        <n v="247829" u="1"/>
        <n v="17320" u="1"/>
        <n v="243039" u="1"/>
        <n v="276376" u="1"/>
        <n v="2" u="1"/>
        <n v="12755" u="1"/>
        <n v="184042" u="1"/>
        <n v="224130" u="1"/>
        <n v="29" u="1"/>
        <n v="110" u="1"/>
        <n v="253629" u="1"/>
        <n v="9635" u="1"/>
        <n v="25073" u="1"/>
        <n v="194632" u="1"/>
        <n v="226904" u="1"/>
        <n v="243040" u="1"/>
        <n v="15166" u="1"/>
        <n v="195893" u="1"/>
        <n v="286" u="1"/>
        <n v="255395" u="1"/>
        <n v="239007" u="1"/>
        <n v="204466" u="1"/>
        <n v="228670" u="1"/>
        <n v="19684" u="1"/>
        <n v="20661" u="1"/>
        <n v="23655" u="1"/>
        <n v="206" u="1"/>
        <n v="209257" u="1"/>
        <n v="278903" u="1"/>
        <n v="178498" u="1"/>
        <n v="171943" u="1"/>
        <n v="258674" u="1"/>
        <n v="248085" u="1"/>
        <n v="254136" u="1"/>
        <n v="141" u="1"/>
        <n v="170935" u="1"/>
        <n v="261448" u="1"/>
        <n v="20220" u="1"/>
        <n v="13748" u="1"/>
        <n v="236236" u="1"/>
        <n v="27" u="1"/>
        <n v="10691" u="1"/>
        <n v="175222" u="1"/>
        <n v="225647" u="1"/>
        <n v="102" u="1"/>
        <n v="193123" u="1"/>
        <n v="241279" u="1"/>
        <n v="243296" u="1"/>
        <n v="15182" u="1"/>
        <n v="21008" u="1"/>
        <n v="250860" u="1"/>
        <n v="256659" u="1"/>
        <n v="4596" u="1"/>
        <n v="17888" u="1"/>
        <n v="225648" u="1"/>
        <n v="253886" u="1"/>
        <n v="17825" u="1"/>
        <n v="255" u="1"/>
        <n v="245062" u="1"/>
        <n v="186317" u="1"/>
        <n v="269833" u="1"/>
        <n v="23750" u="1"/>
        <n v="228422" u="1"/>
        <n v="260442" u="1"/>
        <n v="12976" u="1"/>
        <n v="233969" u="1"/>
        <n v="240020" u="1"/>
        <n v="242037" u="1"/>
        <n v="181023" u="1"/>
        <n v="190" u="1"/>
        <n v="274373" u="1"/>
        <n v="267818" u="1"/>
        <n v="218086" u="1"/>
      </sharedItems>
    </cacheField>
    <cacheField name="CLIENTE INTERNO" numFmtId="0">
      <sharedItems count="7">
        <e v="#N/A"/>
        <s v="A&amp;C - VENDAS" u="1"/>
        <s v="A&amp;C - ENG" u="1"/>
        <s v="A&amp;C - MONT" u="1"/>
        <s v="MLM" u="1"/>
        <s v="2AN" u="1"/>
        <s v="MLM - FAT - EXTRA" u="1"/>
      </sharedItems>
    </cacheField>
    <cacheField name="CLIENTE" numFmtId="0">
      <sharedItems containsBlank="1" count="820">
        <e v="#N/A"/>
        <m u="1"/>
        <s v="BRG SERVICE" u="1"/>
        <s v="CARLOS ROBERTO BUTI." u="1"/>
        <s v="CHW ENGENHARIA" u="1"/>
        <s v="PORTO ALEGRE" u="1"/>
        <s v="SHARENERGY" u="1"/>
        <s v="CIA FOTOVOLTAICA" u="1"/>
        <s v="IGEO / HORIZONTE MINERALS" u="1"/>
        <s v="MINERAÇAO BOM JESUS" u="1"/>
        <s v="CONBRAS" u="1"/>
        <s v="ULTRA VISÃO " u="1"/>
        <s v="GSM MINERAÇÃO" u="1"/>
        <s v="ALPHA INDUSTRIA" u="1"/>
        <s v="B2A ENERGIA" u="1"/>
        <s v="MANGELS" u="1"/>
        <s v="TECMASTER" u="1"/>
        <s v="ICAL" u="1"/>
        <s v="IMERYS RIO" u="1"/>
        <s v="ARC AR COND." u="1"/>
        <s v="ESCO" u="1"/>
        <s v="PRO DOMO CONSTRUTORA" u="1"/>
        <s v="AGR. IND. CAPELA" u="1"/>
        <s v="EMIPAVI" u="1"/>
        <s v="LUMAR METAL." u="1"/>
        <s v="ENERG POWER" u="1"/>
        <s v="LATICINIOS BELINHO" u="1"/>
        <s v="FRIGORIFICO SANTA TERESINHA" u="1"/>
        <s v="DEST. VEREDAS" u="1"/>
        <s v="CGH CENTRO OESTE ENG." u="1"/>
        <s v="ATIVO ALIMENTOS" u="1"/>
        <s v="SUSTENTAR " u="1"/>
        <s v="ANTONIO NILDO" u="1"/>
        <s v="KUTTNER" u="1"/>
        <s v="BARBOSA E CIA." u="1"/>
        <s v="BIO ENERGY " u="1"/>
        <s v="CENT.ELET.PARAC." u="1"/>
        <s v="LATICINIOS  VENCEDOR" u="1"/>
        <s v="MARLUVAS EQUIP. SEG" u="1"/>
        <s v="ELETR.RODARTE" u="1"/>
        <s v="CYNTHIA MARA DA SILVA" u="1"/>
        <s v="ASTRA ENERGIA SOLAR" u="1"/>
        <s v="BEMIL" u="1"/>
        <s v="AEG" u="1"/>
        <s v="G2LM CONSULT." u="1"/>
        <s v="METALUG. ST LTDA" u="1"/>
        <s v="MINER.CORUMBAENSE" u="1"/>
        <s v="ITAFOS" u="1"/>
        <s v="SUSTENTAR ENG. FOTOVOLTAICA" u="1"/>
        <s v="PAVIBRA ENGª." u="1"/>
        <s v="LATICINIO LEITE DA HORA" u="1"/>
        <s v="ITABRITA - BRITADORA ITATIAIUCU" u="1"/>
        <s v="LEANDRO P. SILVA" u="1"/>
        <s v="AGROPONTO" u="1"/>
        <s v="M LEAL ENGENHARIA LTDA" u="1"/>
        <s v="ICIL ENG." u="1"/>
        <s v="ORION" u="1"/>
        <s v="METALUG. ANTONIO CURTY" u="1"/>
        <s v="C.A de OLIVEIRA PINHEIRO" u="1"/>
        <s v="BREMBO" u="1"/>
        <s v="GERDAU" u="1"/>
        <s v="LATIC.PORTO ALE." u="1"/>
        <s v="RECORD INSTALACOES" u="1"/>
        <s v="IMA" u="1"/>
        <s v="MCR-MINER.CORUMBAENSE" u="1"/>
        <s v="ROSSANO FERREIRA ASSIS" u="1"/>
        <s v="COND. ED. SERRA DO CURRAL" u="1"/>
        <s v="RONCADOR" u="1"/>
        <s v="MINAS CAPACITORES" u="1"/>
        <s v="MINERAÇÃO ESTRELA DALVA" u="1"/>
        <s v="FROIS E TAVARES" u="1"/>
        <s v="MSD MT" u="1"/>
        <s v="CONSTRUTORA TERRACO" u="1"/>
        <s v="DK MATERIAIS" u="1"/>
        <s v="AUSTEN" u="1"/>
        <s v="EMMIL ENGª." u="1"/>
        <s v="BELLO FRUTO" u="1"/>
        <s v="FCA" u="1"/>
        <s v="NOVO TEMPO COM." u="1"/>
        <s v="VEREDAS" u="1"/>
        <s v="COMISA" u="1"/>
        <s v="SÃO MARCO IND." u="1"/>
        <s v="COOP.CAFEIC. REGIAO LAGINHA" u="1"/>
        <s v="FUNDEP" u="1"/>
        <s v="VOLT AMPERE" u="1"/>
        <s v="CONECTAR ELT." u="1"/>
        <s v="INDUSTRIA DE PAPEIS" u="1"/>
        <s v="MINERAC. APOEMA" u="1"/>
        <s v="MAEDS LOCAÇOES" u="1"/>
        <s v="JAM SOLUÇÕES PREDIAIS" u="1"/>
        <s v="SUPRIFORTE" u="1"/>
        <s v="CORINGA" u="1"/>
        <s v="CERAMICA XAVIER" u="1"/>
        <s v="POLUS" u="1"/>
        <s v="LACTALIS" u="1"/>
        <s v="GERDAU AÇOM." u="1"/>
        <s v="DIMEZA" u="1"/>
        <s v="TREZZO IND. COM" u="1"/>
        <s v="2AN COMERC." u="1"/>
        <s v="SOLDERING - ESCO" u="1"/>
        <s v="MANOEL" u="1"/>
        <s v="MANOEL " u="1"/>
        <s v="BELFAR" u="1"/>
        <s v="MINAS DRILL" u="1"/>
        <s v="JABIL" u="1"/>
        <s v="CLEMAR ENGENHARIA" u="1"/>
        <s v="SUPERM.STO.ANTON." u="1"/>
        <s v="FREITAS E MORAIS" u="1"/>
        <s v="HM SISTEMAS ELETR." u="1"/>
        <s v="LATIC.PORTO ALEGRE" u="1"/>
        <s v="MJ. DRILLING" u="1"/>
        <s v="COND.IRRIG.PARACATU" u="1"/>
        <s v="BEMISA" u="1"/>
        <s v="CASA ELETRICA EIRELI" u="1"/>
        <s v="FRICORIFICO SANTA TEREZINHA" u="1"/>
        <s v="MULTILUZ" u="1"/>
        <s v="PONTUAL ENG." u="1"/>
        <s v="FUNDAÇÃO HOSP. MONTES CLAROS" u="1"/>
        <s v="AÇOTEL" u="1"/>
        <s v="NELIO LEOPOLDO SOARES" u="1"/>
        <s v="INSTITUTO INHOTIM" u="1"/>
        <s v="DENISE CRISTINA" u="1"/>
        <s v="OMR" u="1"/>
        <s v="JOSE AFONSO B. CARNEIRO" u="1"/>
        <s v="JOSE BRAGA MARTINS" u="1"/>
        <s v="IMPERMEAR SERV. ENG." u="1"/>
        <s v="AVB MINER." u="1"/>
        <s v="CARLOS R. BUTINHOLI" u="1"/>
        <s v="CONTROLLMASTER" u="1"/>
        <s v="CONST. VIGA" u="1"/>
        <s v="INDUBRAS IND. VETERIN." u="1"/>
        <s v="CONSTRUTORA G-MAIA" u="1"/>
        <s v="CONSTRUTORA TERRAÇO" u="1"/>
        <s v="ULTRA VISAO" u="1"/>
        <s v="USINA B. PAIOLZINHO" u="1"/>
        <s v="CARLOS ANTONIO RIBEIRO" u="1"/>
        <s v="RODOLFO GIANET." u="1"/>
        <s v="FRIGOR. SANTA TEREZINHA" u="1"/>
        <s v="CARLOS  OBERTO" u="1"/>
        <s v="ADRIANA L. GONÇALVES" u="1"/>
        <s v="NEW ENERGY" u="1"/>
        <s v="COMERCIAL ELETRICA HM" u="1"/>
        <s v="SUPER PARK" u="1"/>
        <s v="FIAMMA" u="1"/>
        <s v="BELFAR LIMITADA" u="1"/>
        <s v="PEDRO H.L.VELOSO" u="1"/>
        <s v="BUNGE ALIMENTOS" u="1"/>
        <s v="REFER. MONT." u="1"/>
        <s v="VELOSO COFFEE" u="1"/>
        <s v="FRIGOR.TRIANG.MIN" u="1"/>
        <s v="MICROSOLO" u="1"/>
        <s v="ENGEFRIL - CESCONETO" u="1"/>
        <s v="RODRIGO R.TOR." u="1"/>
        <s v="PROENG" u="1"/>
        <s v="PILAR DE GOIAIS" u="1"/>
        <s v="TECNOTEMP" u="1"/>
        <s v="NEXA RECURSOS" u="1"/>
        <s v="JOEL LANA CELESTINO" u="1"/>
        <s v="FORTALEZA SANTA TEREZINHA" u="1"/>
        <s v="LIDERANÇA FRUTAS" u="1"/>
        <s v="ESO MATERIAIS" u="1"/>
        <s v="ESO MATERIAIS " u="1"/>
        <s v="ESET " u="1"/>
        <s v="AMBAR AUTOMAÇÃO" u="1"/>
        <s v="ALBRAS" u="1"/>
        <s v="EXPANDEX" u="1"/>
        <s v="INGLEZA" u="1"/>
        <s v="LATIC. GUGU" u="1"/>
        <s v="ATLANTIC NICKEL" u="1"/>
        <s v="THESUN ENERGY" u="1"/>
        <s v="NRA ENGª" u="1"/>
        <s v="ELETROFONIA" u="1"/>
        <s v="LUMINAE" u="1"/>
        <s v="ELERICA RODARTE" u="1"/>
        <s v="ROCA" u="1"/>
        <s v="PONTE NOVA PAPEIS" u="1"/>
        <s v="A&amp;C MECATRONICA" u="1"/>
        <s v="DEL PAPEIS" u="1"/>
        <s v="TRIUNFO MINER." u="1"/>
        <s v="SEW" u="1"/>
        <s v="LATIC. PORTO ALEGRE" u="1"/>
        <s v="BAYTEK" u="1"/>
        <s v="SUPPLY CHAIN" u="1"/>
        <s v="CENTRAL SOLUÇÕES LOC. AUT." u="1"/>
        <s v="INGLEZA IND." u="1"/>
        <s v="NEPEAN" u="1"/>
        <s v="2AN" u="1"/>
        <s v="FRAN ELETROMEC." u="1"/>
        <s v="CA DE OLIVEIRA PINHEIRO" u="1"/>
        <s v="CONSTR. HCG" u="1"/>
        <s v="RIMA INDL." u="1"/>
        <s v="HELIO JOSE B.T" u="1"/>
        <s v="SAS" u="1"/>
        <s v="MILPLAN ENGENHARIA" u="1"/>
        <s v="CARLOS OBERTO CORREIA" u="1"/>
        <s v="EMMIL ENGENHARIA" u="1"/>
        <s v="BELOCAL" u="1"/>
        <s v="CENTRAL ELE.PARACATU" u="1"/>
        <s v="FOTOVOLT" u="1"/>
        <s v="ACO CEARENSE INDL." u="1"/>
        <s v="TONIOLO" u="1"/>
        <s v="FIAT" u="1"/>
        <s v="CONC.IND.ROUPA" u="1"/>
        <s v="NX GOLD" u="1"/>
        <s v="NEMAK ALUM." u="1"/>
        <s v="C.A OLIVEIRA" u="1"/>
        <s v="ECOBOR" u="1"/>
        <s v="ENGEFRIL - FORMOSA" u="1"/>
        <s v="PERIMETRAL" u="1"/>
        <s v="MINERAÇÃO BELOCAL" u="1"/>
        <s v="PERIMETRAL " u="1"/>
        <s v="ROGRANE" u="1"/>
        <s v="UNIVERSO ELETR." u="1"/>
        <s v="FRIG.IND.VALE DO PIRANGA" u="1"/>
        <s v="EPEX BRASILIA" u="1"/>
        <s v="CIMED INDUSTRIA" u="1"/>
        <s v="PROK" u="1"/>
        <s v="VENDA BNDES " u="1"/>
        <s v="MINERAÇÃO APOEMA" u="1"/>
        <s v="CONSTRUTORA VBO EIRELI" u="1"/>
        <s v="BRO ENERGY" u="1"/>
        <s v="FRIGORIFICO SANTA TEREZINHA" u="1"/>
        <s v="D&amp;C - CIA FOTOVOLTAICA" u="1"/>
        <s v="VIAÇÃO SERRO" u="1"/>
        <s v="MINERAÇÃO APOENA" u="1"/>
        <s v="LATIC.REZENDE" u="1"/>
        <s v="LENZ ELETR." u="1"/>
        <s v="LUCIMAR S. FREITAS" u="1"/>
        <s v="CASA DE SAUDE DIVINO ESP. SANTO" u="1"/>
        <s v="ALL ENERGY" u="1"/>
        <s v="ANGLO GOLD" u="1"/>
        <s v="LATICINIO PORTO ALEGRE" u="1"/>
        <s v="JLX Miner." u="1"/>
        <s v="CSN CIA SIDER. NACIONAL" u="1"/>
        <s v="RUBENS SERGIO" u="1"/>
        <s v="REFRIM" u="1"/>
        <s v="NEOCENTER" u="1"/>
        <s v="METALURGIA ANTONIO CURTY " u="1"/>
        <s v="HINDALCO" u="1"/>
        <s v="CNH" u="1"/>
        <s v="PMC SERVIÇOS EIRELI - EPP" u="1"/>
        <s v="ARCELORMITAL" u="1"/>
        <s v="INPA IND. EMBAL." u="1"/>
        <s v="VEREDAS AGRO" u="1"/>
        <s v="EXTRATIVA" u="1"/>
        <s v="PAROQUIA SÃO SEBASTIAO" u="1"/>
        <s v="CONSTR.HCG" u="1"/>
        <s v="KELVIN AR CONDICIONADO" u="1"/>
        <s v="FRIGORIFICO INDL. VALE DO PIRANGA" u="1"/>
        <s v="DELTAPHI CONSTRUT." u="1"/>
        <s v="ERIKA DE JESUS" u="1"/>
        <s v="LATIC. POR. ALEG" u="1"/>
        <s v="ON/OFF COMERCIO " u="1"/>
        <s v="JOSEANE C. ARAUJO ( TECMILI)" u="1"/>
        <s v="CRO - CLIN. RADIOL." u="1"/>
        <s v="MINARAÇÂO AURIZONA" u="1"/>
        <s v="FRICAL" u="1"/>
        <s v="PARAMO AGROINDUSTRIAL" u="1"/>
        <s v="ITABIRA AGRO IND." u="1"/>
        <s v="PREMINAS IND. COMER." u="1"/>
        <s v="CARLOS OBERTO" u="1"/>
        <s v="CONSTRUTORA APIA" u="1"/>
        <s v="ENERPROJ" u="1"/>
        <s v="MONTCALM" u="1"/>
        <s v="MOSAIC FERTILIZANTES" u="1"/>
        <s v="CRH SUDESTE" u="1"/>
        <s v="MAJOR DRILLING" u="1"/>
        <s v="GILMAR SANTOS" u="1"/>
        <s v="ELETROMATE" u="1"/>
        <s v="BIOEXTRATOS" u="1"/>
        <s v="SAFM MINERAÇÃO " u="1"/>
        <s v="MINERAÇÃO VALE VERDE DO BRASIL" u="1"/>
        <s v="MINERAÇÃO PARAGOMINAS S/A" u="1"/>
        <s v="SER SOLUÇÕES" u="1"/>
        <s v="MUNICIPIO DE ITAIPE" u="1"/>
        <s v="REFRIGERAR" u="1"/>
        <s v="FABRICAL FABRICA DE CAL" u="1"/>
        <s v="FERRO + MINERAÇÃO S.A" u="1"/>
        <s v="MINERAÇÃO CORUMBAENSE" u="1"/>
        <s v="JOSEANE CORREA DE ARAUJO" u="1"/>
        <s v="CENTRO OESTE SERV. RECUPER." u="1"/>
        <s v="ADRIANO FARIA" u="1"/>
        <s v="LUCIANO AFON." u="1"/>
        <s v="OMR COMPON. AUTOM." u="1"/>
        <s v="MANIA CRISTINA - LAT. SABOROSO" u="1"/>
        <s v="LATIC. PORTO ALEGRE DENILSON" u="1"/>
        <s v="G2LM CONSULTORIA" u="1"/>
        <s v="ELÉTRICA CEMIL LTDA" u="1"/>
        <s v="SOEGEL" u="1"/>
        <s v="PAINERGY" u="1"/>
        <s v="LATICINIOS VENCEDOR" u="1"/>
        <s v="MINERAÇÃO SERRA DOURADA" u="1"/>
        <s v="SERRAS DO OESTE" u="1"/>
        <s v="SMF CABOS ELETR." u="1"/>
        <s v="MRN" u="1"/>
        <s v="LAT.FAZ.FELIZ" u="1"/>
        <s v="REAL ESTRUTURAS" u="1"/>
        <s v="REDE SANTO ANTONIO SUPER." u="1"/>
        <s v="VISUAL C/FILIPAO" u="1"/>
        <s v="AGUIA FERTILIZANTES" u="1"/>
        <s v="MINER.MANGANES NOGUEIRA" u="1"/>
        <s v="MULT MINAS" u="1"/>
        <s v="LIGA MINERAÇAO" u="1"/>
        <s v="CARVALHO" u="1"/>
        <s v="MINA DO PICO" u="1"/>
        <s v="CARVALHO E COELHO FERTILIZANTES" u="1"/>
        <s v="GS SOUTO ENG." u="1"/>
        <s v="RIO BRANCO ALIMENTOS" u="1"/>
        <s v="ESTILOS VIDROS LTDA" u="1"/>
        <s v="ITAQUAREIA" u="1"/>
        <s v="MAICON BRUNO FRANCO" u="1"/>
        <s v="ARTE NATIVA" u="1"/>
        <s v="COOK EMPREEND." u="1"/>
        <s v="METALUR.ANTONIO CURTY" u="1"/>
        <s v="INCOFORTE" u="1"/>
        <s v="MINER.AURIZONA" u="1"/>
        <s v="VOTORANTIN" u="1"/>
        <s v="MASTER LINE DO BRASIL" u="1"/>
        <s v="AGUA MINER. SERRA DAS FLORES" u="1"/>
        <s v="NOGUEIRA DUARTE" u="1"/>
        <s v="CONSFAT" u="1"/>
        <s v="MINERAÇÃO MANGANES NOGUEIRA" u="1"/>
        <s v="TECNOSULFOR" u="1"/>
        <s v="AFONSO PENA ALIMENT." u="1"/>
        <s v="G2LM CONSULTORIA " u="1"/>
        <s v="FROIS" u="1"/>
        <s v="CAYUABA" u="1"/>
        <s v="TECKSID" u="1"/>
        <s v="COMPAINHA INDUSTRIAL CATAGUASES" u="1"/>
        <s v="SAAE" u="1"/>
        <s v="COOLVAM" u="1"/>
        <s v="MELILO E LOPEZ" u="1"/>
        <s v="VOTORANTIM" u="1"/>
        <s v="PETREL ENG." u="1"/>
        <s v="FAZ.BRAS.DESENV." u="1"/>
        <s v="SONIA APARECIDA" u="1"/>
        <s v="NELIO LEOPOLDO" u="1"/>
        <s v="SANTA TEREZINHA" u="1"/>
        <s v="INPA" u="1"/>
        <s v="CIA BRAS LITIO" u="1"/>
        <s v="SERVMAQUINAS" u="1"/>
        <s v="OWNERGY SOLUÇOES" u="1"/>
        <s v="SUPERMERCADO SANTO ANTONIO" u="1"/>
        <s v="KINROSS BRASIL" u="1"/>
        <s v="AUMAX" u="1"/>
        <s v="FROIS SISTEMA" u="1"/>
        <s v="JOSE APARECIDO DE CASTRO" u="1"/>
        <s v="MINER. BURITIRAMA" u="1"/>
        <s v="SAAE RAUL SOARES" u="1"/>
        <s v="MINER.SERRAS DO OESTE" u="1"/>
        <s v="PEDRO HENRIQUE VELOSO" u="1"/>
        <s v="USINA ENTRAL OLHO DAGUA" u="1"/>
        <s v="NOVA ERA" u="1"/>
        <s v="HARSCO METAIS" u="1"/>
        <s v="G3 CONSTRUÇÕES" u="1"/>
        <s v="KELVIN AR CONDICION." u="1"/>
        <s v="SHOPPING CIDADE" u="1"/>
        <s v="TECMAX" u="1"/>
        <s v="JM ADMINISTRADORA" u="1"/>
        <s v="USINAS SIDERURGICAS DE MINAS GERAIS" u="1"/>
        <s v="MINERAÇAÔ AURIZONA" u="1"/>
        <s v="EXXON SOLUCOES " u="1"/>
        <s v="JOSE DA SILVA" u="1"/>
        <s v="SINOBRAS" u="1"/>
        <s v="DENSO" u="1"/>
        <s v="HUGO MARCIO" u="1"/>
        <s v="GERAMIX" u="1"/>
        <s v="CONSTRUTORA HCG" u="1"/>
        <s v="FORMESPACO" u="1"/>
        <s v="CARLOS A. RIBEIRO" u="1"/>
        <s v="AQUALITA" u="1"/>
        <s v="ELETROMAT" u="1"/>
        <s v="ARAGUAIA NIQUEL (HORIZONTE MINERALS)" u="1"/>
        <s v="CONGREGAÇÃO DAS IRMAS AUX. PIED." u="1"/>
        <s v="ERIEZ MINERALS" u="1"/>
        <s v="FELUMA" u="1"/>
        <s v="OLIVEIRA JUNIOR" u="1"/>
        <s v="CONQUISTA MOVEIS" u="1"/>
        <s v="FROIS TAVARES" u="1"/>
        <s v="LOCAMEX" u="1"/>
        <s v="ELETRICA VILA RICA" u="1"/>
        <s v="FUND.FILAN.BENEF.SAU.ARNAL.GAV.FILHO" u="1"/>
        <s v="POLYCAST" u="1"/>
        <s v="METALSIDER" u="1"/>
        <s v="MINER. SERRA GRANDE" u="1"/>
        <s v="HT - HIDRAUTRONICA" u="1"/>
        <s v="GULOSITOS" u="1"/>
        <s v="KELVI AR CONDICIONADO" u="1"/>
        <s v="PARAIBUNA" u="1"/>
        <s v="DCW DERIVADOS DE PETROLEO" u="1"/>
        <s v="DIMEZA ALIM." u="1"/>
        <s v="CAFÉ" u="1"/>
        <s v="OMR Compon." u="1"/>
        <s v="MINA DE BRUCUTU" u="1"/>
        <s v="ELETRONET MATERIAIS" u="1"/>
        <s v="TUPY" u="1"/>
        <s v="CLEYTON CESAR" u="1"/>
        <s v="SOLAR EFFICIENCY" u="1"/>
        <s v="TEKFOR" u="1"/>
        <s v="ELETRO UNIAO" u="1"/>
        <s v="MINERAÇÃO SANTA HELENA" u="1"/>
        <s v="GNA PEÇANHA" u="1"/>
        <s v="AREAL DINIZ LTDA" u="1"/>
        <s v="COOP. RAUL SOARES " u="1"/>
        <s v="SERV IMAGEM" u="1"/>
        <s v="FAZENDA BRASILEIRO" u="1"/>
        <s v="SERV IMAGEM " u="1"/>
        <s v="FAZENDA BRASILEIRO DESENV. M" u="1"/>
        <s v="FERROSIDER" u="1"/>
        <s v="ECOMEL" u="1"/>
        <s v="BB CHURRASCARIA" u="1"/>
        <s v="FAZENDA SAPUCAIA" u="1"/>
        <s v="MARCELO RODARTE" u="1"/>
        <s v="G-MAIA" u="1"/>
        <s v="RODOLFO GIANETTI" u="1"/>
        <s v="RODOLFO GIANETTI " u="1"/>
        <s v="CAFÉ EMPREE.AGRIC." u="1"/>
        <s v="PAVIBRA" u="1"/>
        <s v="MINAS ENERGIA ENG." u="1"/>
        <s v="SUPER METAL LTDA" u="1"/>
        <s v="BROENERGY" u="1"/>
        <s v="FORMESPAÇO" u="1"/>
        <s v="RENATO ELIAS DOS SANTOS" u="1"/>
        <s v="FERGOITA SIDER." u="1"/>
        <s v="WMGE CHURRASC." u="1"/>
        <s v="LATICINIOS COSTA NILO" u="1"/>
        <s v="OLIVEIRA JUNIOR AGRO" u="1"/>
        <s v="DESTILARIA VEREDAS" u="1"/>
        <s v="CONSTRUT.G.MAIA" u="1"/>
        <s v="CONST. G-MAIA" u="1"/>
        <s v="MINERADORA MORRO AZUL" u="1"/>
        <s v="CSN" u="1"/>
        <s v="MIN. CORUMBAENSE" u="1"/>
        <s v="LATIC. STA. CLARA" u="1"/>
        <s v="SESI" u="1"/>
        <s v="COOP.LATIV.VALE MUCURI - COLVAN" u="1"/>
        <s v="HELIO JOSE B. TEIXEIRA" u="1"/>
        <s v="CERA INGLEZA" u="1"/>
        <s v="AGUA.MIN.SERR.FLO" u="1"/>
        <s v="METALURGICA ST LTDA" u="1"/>
        <s v="CIA. INDL. CATAGUASES" u="1"/>
        <s v="GEOSEDNA" u="1"/>
        <s v="FCA GROUP" u="1"/>
        <s v="ALS BRASIL" u="1"/>
        <s v="MASPI SERVICE" u="1"/>
        <s v="VICENTE" u="1"/>
        <s v="FCA FIAT" u="1"/>
        <s v="POLIMIX CONCRETO" u="1"/>
        <s v="MINER.APOENA" u="1"/>
        <s v="INCOR. E CONSTR. VIGA." u="1"/>
        <s v="GRANHA LIGAS" u="1"/>
        <s v="EMMIL" u="1"/>
        <s v="EQUIFLEX" u="1"/>
        <s v="BRAZAURO S/A" u="1"/>
        <s v="MERCADINHO ITAIPAVA" u="1"/>
        <s v="ARMANDO B. CARNEIRO" u="1"/>
        <s v="FMR ELETRICA HIDRAULICA" u="1"/>
        <s v="GSM" u="1"/>
        <s v="HT HIDRAUTRÔNICA" u="1"/>
        <s v="JOAO BATISTA FERREIRA" u="1"/>
        <s v="CONSTRUT. G-MAIA" u="1"/>
        <s v="MET. ANTONIO GIA." u="1"/>
        <s v="EPOS EMP.POT." u="1"/>
        <s v="S RIKO" u="1"/>
        <s v="MADSON ELETR." u="1"/>
        <s v="PAP.STª. RITA" u="1"/>
        <s v="VENCEDOR IND. COMERC." u="1"/>
        <s v="SUSTENTAR ENERGIA FOTOVOTAICA" u="1"/>
        <s v="ELETROMAX" u="1"/>
        <s v="DBR ENGENHARIA LTDA" u="1"/>
        <s v="AROLDO" u="1"/>
        <s v="COND. ED. MONREALE" u="1"/>
        <s v="SADA SIDERURGIA" u="1"/>
        <s v="ELETRICA RODARTE " u="1"/>
        <s v="ESTANHO DE RONDONIA" u="1"/>
        <s v="UNIAO COMERC. BARAO" u="1"/>
        <s v="MINERAÇÃO RIO DO NORTE" u="1"/>
        <s v="PROENG/ANTON" u="1"/>
        <s v="RIGOTEX" u="1"/>
        <s v="GRUPO MBL -  ITABRITA" u="1"/>
        <s v="MCR MINER." u="1"/>
        <s v="EPEX" u="1"/>
        <s v="EPEX " u="1"/>
        <s v="COND.SHOP.CIDADE" u="1"/>
        <s v="MSD" u="1"/>
        <s v="MIER.SERRAS OESTE" u="1"/>
        <s v="BALBINOS" u="1"/>
        <s v="MINAS ELETRICIDADE" u="1"/>
        <s v="ELO TECNICO" u="1"/>
        <s v="WERLEY AUGUSTO RODRIGUES" u="1"/>
        <s v="COOP.CAF.LAJIN" u="1"/>
        <s v="MIP ENG." u="1"/>
        <s v="CENTRAL ILUMINAÇÃO" u="1"/>
        <s v="AUSTEM" u="1"/>
        <s v="ANTONIO CESAR" u="1"/>
        <s v="EDSON LAZARINI RUBIO" u="1"/>
        <s v="CONDOMINIO DO EDIFICIO VILLE SION" u="1"/>
        <s v="SORTE MADEIRAS" u="1"/>
        <s v="ACUMENT" u="1"/>
        <s v="UNIMONT" u="1"/>
        <s v="PEDREIRA IRMAOS MACHADO" u="1"/>
        <s v="RECAPAGEM RECATEC" u="1"/>
        <s v="BURITIRAMA" u="1"/>
        <s v="ROCA BRASIL" u="1"/>
        <s v="SWB" u="1"/>
        <s v="VIVER MINAS " u="1"/>
        <s v="HAROLPEL" u="1"/>
        <s v="HAROLPEL " u="1"/>
        <s v="ATEX DO BRASIL" u="1"/>
        <s v="LUMAR METARLUGICA" u="1"/>
        <s v="MINER. CORUMBAENSE" u="1"/>
        <s v="MINERAÇÃO SERRA DO OESTE" u="1"/>
        <s v="CONDOMINIO DO EDIFICIO JONAS P." u="1"/>
        <s v="RODOLFO GIANETI" u="1"/>
        <s v="ROMA IMOVEIS" u="1"/>
        <s v="SIDERURGICA ITABIRITO" u="1"/>
        <s v="SOUZA CRUZ - RS" u="1"/>
        <s v="LUMAR METALUR." u="1"/>
        <s v="CLEMAR ENGª." u="1"/>
        <s v="AUTO P.GOLF." u="1"/>
        <s v="PMC" u="1"/>
        <s v="FRIGOR. IND.VALE PIRANGA-SAUDALI" u="1"/>
        <s v="ALS BRASIL LTDA" u="1"/>
        <s v="ROLMIG" u="1"/>
        <s v="SMURFIT KAPPA" u="1"/>
        <s v="DTR VMS" u="1"/>
        <s v="STARKE ENGª." u="1"/>
        <s v="MINERAÇÃO MARACA" u="1"/>
        <s v="ARCELORMITTAL" u="1"/>
        <s v="MAGNA" u="1"/>
        <s v="LAT.VALE MUCURI" u="1"/>
        <s v="DESTAQUE" u="1"/>
        <s v="MODULO EMBALAGEM" u="1"/>
        <s v="MINAS MAIS" u="1"/>
        <s v="USINA DE BENEF.PAIOLZINHO" u="1"/>
        <s v="VANIA EMERICK HERINGER DE OLIVEIRA" u="1"/>
        <s v="FITTER" u="1"/>
        <s v="ELETROFONIA CARDOSO" u="1"/>
        <s v="FEIRA MINAS" u="1"/>
        <s v="FERBASA" u="1"/>
        <s v="COTEMINAS" u="1"/>
        <s v="SAFM" u="1"/>
        <s v="ALEX SANDRO PIRES SALES" u="1"/>
        <s v="C A de OLIVEIRA" u="1"/>
        <s v="TORA TRANSPORTES" u="1"/>
        <s v="LUCIMAR SILVERIO" u="1"/>
        <s v="EULER MIRANDA" u="1"/>
        <s v="PREALL - PAINEL" u="1"/>
        <s v="MOLDAR PRE FABRICADOS" u="1"/>
        <s v="IND. COM.ALIM. INHAUMA" u="1"/>
        <s v="CIA FERRO LIGAS BA" u="1"/>
        <s v="MORRO VERDE" u="1"/>
        <s v="MCR MINER.CORUMBAENSE" u="1"/>
        <s v="PEDRO HENRIQUE VELOSO LIMA" u="1"/>
        <s v="ANGLO ANSHANT" u="1"/>
        <s v="CONSTR. G. MAIA" u="1"/>
        <s v="MGM PROD" u="1"/>
        <s v="PLAS.RIO PARDO" u="1"/>
        <s v="RADIOLOGICA" u="1"/>
        <s v="PROJETELE" u="1"/>
        <s v="SALES" u="1"/>
        <s v="PORTO DO AÇU" u="1"/>
        <s v="CONTR. TERRAÇO" u="1"/>
        <s v="FRIGORIFICO SÃO JOAGUIM " u="1"/>
        <s v="DESTI. VEREDAS" u="1"/>
        <s v="NOVA ELETRICA" u="1"/>
        <s v="ENGELTEX" u="1"/>
        <s v="ELETRICA RODARTE" u="1"/>
        <s v="STª. CRUZ INDL." u="1"/>
        <s v="MARFRIG" u="1"/>
        <s v="NIVEA MARIA" u="1"/>
        <s v="IND. PAPEIS BEM. PONTE NOVA" u="1"/>
        <s v="FUNDACAO FELICE ROCHO" u="1"/>
        <s v="SUGGAR" u="1"/>
        <s v="MINER. RIO DO NORTE" u="1"/>
        <s v="CONDOM.SHOPING CIDADE" u="1"/>
        <s v="LATICINIOS PORTO ALEGRE" u="1"/>
        <s v="WLADIMIR FERNANDES" u="1"/>
        <s v="LATICINIOS SÃO JOAO" u="1"/>
        <s v="LATICINIUS SÃO JOAO" u="1"/>
        <s v="FAZ.BRAS.DESENV.MINER." u="1"/>
        <s v="VENCEDOR" u="1"/>
        <s v="H.P PAPEIS" u="1"/>
        <s v="MINER. COMISA" u="1"/>
        <s v="CONSFAT ENGENHARIA" u="1"/>
        <s v="CARLOS BURTINHOLI" u="1"/>
        <s v="ECOVITAL" u="1"/>
        <s v="MINERAÇÃO MORRO VERDE" u="1"/>
        <s v="CONECTAR ELETRICA" u="1"/>
        <s v="HG FOODS" u="1"/>
        <s v="SAAE VALADARES" u="1"/>
        <s v="FRIGOR.SANTA TEREZINHA" u="1"/>
        <s v="VERA LUCIA F. SANTOS" u="1"/>
        <s v="INTERCAST" u="1"/>
        <s v="WG SINTERIZAÇÃO" u="1"/>
        <s v="GRUPO FAN" u="1"/>
        <s v="LATIC. SALDALI" u="1"/>
        <s v="MINER.SERRA DOURADA" u="1"/>
        <s v="FAZENDA PARAIZO" u="1"/>
        <s v="G.MAIA" u="1"/>
        <s v="CONSTRUTORA FELIPAO" u="1"/>
        <s v="COND.ED.JULIA PEREIRA" u="1"/>
        <s v="RIMA" u="1"/>
        <s v="SÃO PEDRO AGROP." u="1"/>
        <s v="JCM CONSR." u="1"/>
        <s v="TONIOLO BUSNELO " u="1"/>
        <s v="CLAUDINEI NASCIMENTO" u="1"/>
        <s v="ENGEFRANCO" u="1"/>
        <s v="GRUPO MBL" u="1"/>
        <s v="RODOAGRO" u="1"/>
        <s v="ADORAR" u="1"/>
        <s v="SANDVIK" u="1"/>
        <s v="M LEAL" u="1"/>
        <s v="MODULO EMBAL." u="1"/>
        <s v="SERVITEC" u="1"/>
        <s v="MASCARENHAS BARBOSA" u="1"/>
        <s v="BRG" u="1"/>
        <s v="WERLEY RODRIGUES " u="1"/>
        <s v="AVG SIDERURGIA " u="1"/>
        <s v="MARCEL FERREIRA BASTOS" u="1"/>
        <s v="LATICINIO DELBOM" u="1"/>
        <s v="DINIZ LARA MASSAS" u="1"/>
        <s v="BREMBO DO BRASIL" u="1"/>
        <s v="GUSTAVO VIANA" u="1"/>
        <s v="LATICINIOS SALDALIS" u="1"/>
        <s v="SUMIRIKO" u="1"/>
        <s v="POTENZA ENERGIAS LTDA" u="1"/>
        <s v="ENGEFRIL -PORTO ALEGRE" u="1"/>
        <s v="OLIVEIRA MENDES FRIGORIFICO" u="1"/>
        <s v="RESIND IND. COM" u="1"/>
        <s v="CRISTAULAT" u="1"/>
        <s v="MG MONTAGENS" u="1"/>
        <s v="NP CONSTR." u="1"/>
        <s v="CBMM" u="1"/>
        <s v="LATICINIO SAUDALI" u="1"/>
        <s v="ANGLOGOLD ASHANTI" u="1"/>
        <s v="SERV IMAGEM MINAS " u="1"/>
        <s v="MSD PA" u="1"/>
        <s v="RETA EDIFICAÇÔES" u="1"/>
        <s v="ALS" u="1"/>
        <s v="EMP. BRAS. ALOJ. IND" u="1"/>
        <s v="CENTRO HOSPITALAR SÃO FRANCISCO" u="1"/>
        <s v="VMI SIST." u="1"/>
        <s v="BAYTEK QUIMICA IND" u="1"/>
        <s v="ESTRUTURAR" u="1"/>
        <s v="ERIEZ MINERALS GROUP" u="1"/>
        <s v="FRIGOR.IND.CID. DE PIRANGA - " u="1"/>
        <s v="SUPREMA" u="1"/>
        <s v="CONSTR.BRASILEIRA DE ENG." u="1"/>
        <s v="MARCIA V. CUST." u="1"/>
        <s v="FEIRAMINAS" u="1"/>
        <s v="LUBRIFICANTES RIO DOCE" u="1"/>
        <s v="EDIFICIO JONAS PIRES" u="1"/>
        <s v="ESCO - SOLDERING" u="1"/>
        <s v="RODOLFO GIANNETTE" u="1"/>
        <s v="LULES ELETROT." u="1"/>
        <s v="MINER. CORUMBAE." u="1"/>
        <s v="SOEGEO" u="1"/>
        <s v="FAZENDA ST TERESINHA" u="1"/>
        <s v="GUERDAU" u="1"/>
        <s v="FRIG.SANTA TEREZINHA" u="1"/>
        <s v="FRIGOR.STA.TEREZINHA" u="1"/>
        <s v="FRIGOR.IND.VALE DO PIRANGA - SAUDALI" u="1"/>
        <s v="Ind. Papeis Sudeste" u="1"/>
        <s v="SYSCON" u="1"/>
        <s v="COPAM ENG." u="1"/>
        <s v="CONST. ITAMARACA" u="1"/>
        <s v="SERV. IMAGEM SERV E IND." u="1"/>
        <s v="CONSTR. FELIPAO" u="1"/>
        <s v="MAJOR DRILING" u="1"/>
        <s v="MAJOR DRILING " u="1"/>
        <s v="MC2 CAFETARIA LANCH. E PIZZARIA" u="1"/>
        <s v="MASPI" u="1"/>
        <s v="CIPLAN" u="1"/>
        <s v="FRIGORIFICO IND. VALE DO PIRANGA" u="1"/>
        <s v="FORT. STA. Terez." u="1"/>
        <s v="FORTALEZA STA TEREZINHA" u="1"/>
        <s v="LATIC.TEOF. OTONI" u="1"/>
        <s v="SAMBER ELETRICA" u="1"/>
        <s v="LATICINIO SALDALIS " u="1"/>
        <s v="QUITANDAS DA SERRA PADARIA" u="1"/>
        <s v="ZPP ACIONAMENTOS ELETRICOS" u="1"/>
        <s v="ELETRICA CEMIL" u="1"/>
        <s v="ELETRICA CEMIL " u="1"/>
        <s v="SALOBO METAIS" u="1"/>
        <s v="QUEIMA INTELIGENTE" u="1"/>
        <s v="ERIEZ" u="1"/>
        <s v="LIPARI" u="1"/>
        <s v="ESCO SOLDERING" u="1"/>
        <s v="COOP.AGROP.RAUL SOARES" u="1"/>
        <s v="ENGEFRIL" u="1"/>
        <s v="GNA CORP." u="1"/>
        <s v="BEM VIVER" u="1"/>
        <s v="ALFA ENG." u="1"/>
        <s v="MINERAÇÃO BARROSO IND. COM" u="1"/>
        <s v="ZAPP AUTOMAÇÃO" u="1"/>
        <s v="UNIVERSO ELETRICO " u="1"/>
        <s v="REFRAMAX" u="1"/>
        <s v="JAIME GOMES" u="1"/>
        <s v="MANOEL HENRIQUE" u="1"/>
        <s v="PAULO V. / 2AN" u="1"/>
        <s v="IMERYS" u="1"/>
        <s v="MLM" u="1"/>
        <s v="NEMAK" u="1"/>
        <s v="NEMAK " u="1"/>
        <s v="SCIENTIFIC DENTAL" u="1"/>
        <s v="PEDRO H.VELOSO" u="1"/>
        <s v="VAGNO MAIA" u="1"/>
        <s v="UNIAO COMERCIAL" u="1"/>
        <s v="ANGLOGOLD" u="1"/>
        <s v="MINER. SERRA G." u="1"/>
        <s v="PEDREIRA S.FRANCISCO" u="1"/>
        <s v="LACO IRRIGAÇ." u="1"/>
        <s v="SAMBER ELETR." u="1"/>
        <s v="EMBALAFLEX" u="1"/>
        <s v="MULTIPLAN" u="1"/>
        <s v="SPE" u="1"/>
        <s v="COML. COMAG" u="1"/>
        <s v="ELETRICA SEMAR" u="1"/>
        <s v="PEDR.S. JORGE" u="1"/>
        <s v="ALBRAS ALUM. BRASIL" u="1"/>
        <s v="FAZ.BRA.DESENV.MINER." u="1"/>
        <s v="COND. ED. EPHIGENIA" u="1"/>
        <s v="CNH IND" u="1"/>
        <s v="SAUDALI" u="1"/>
        <s v="M.ROSCOE" u="1"/>
        <s v="CONSTR. ITAMARACA" u="1"/>
        <s v="TEKSID" u="1"/>
        <s v="VANADIO" u="1"/>
        <s v="CERAMICA VARGEM ALEGRE" u="1"/>
        <s v="PEMA BENEFICIAMENTO" u="1"/>
        <s v="ESQUIMO SERV." u="1"/>
        <s v="CALY" u="1"/>
        <s v="RODARTE" u="1"/>
        <s v="RODARTE " u="1"/>
        <s v="LOOKLOOC" u="1"/>
        <s v="CONSTR.INCORP.C&amp;S" u="1"/>
        <s v="LATC. VENC." u="1"/>
        <s v="CAFÉ EMPREEND.AGRIC." u="1"/>
        <s v="SMURFIT" u="1"/>
        <s v="VANADIR DE MARA." u="1"/>
        <s v="KINROSS" u="1"/>
        <s v="MECTRIAL" u="1"/>
        <s v="DANGELANS" u="1"/>
        <s v="GERDAU AÇOMINAS" u="1"/>
        <s v="MINER. SERRAS DO OESTE" u="1"/>
        <s v="REFRAMAX ENG." u="1"/>
        <s v="FAZENDA SANTA TEREZINHA" u="1"/>
        <s v="ED. PEDRO ALEIXO" u="1"/>
        <s v="ANGLO AMERICAN" u="1"/>
        <s v="PALADAR" u="1"/>
        <s v="SERVMAQUINAS PEÇAS" u="1"/>
        <s v="LAT. PORTO ALEGRE" u="1"/>
        <s v="DANGELIS HENRIQUE DA SILVA" u="1"/>
        <s v="MINER. APOENA" u="1"/>
        <s v="AUTOFORJAS" u="1"/>
        <s v="SUPER METAL" u="1"/>
        <s v="TEJUCANA MINERAÇÃO" u="1"/>
        <s v="INGLEZA INDL." u="1"/>
        <s v="INDUSTRIA E COMERCIO DE PLASTICO RIO PARDO" u="1"/>
        <s v="FERRO+MINERAÇÃO" u="1"/>
        <s v="FRIGOR.VALE DO PIRANGA" u="1"/>
        <s v="COSMA DO BRASIL" u="1"/>
        <s v="ECO PAK" u="1"/>
        <s v="VALE AS." u="1"/>
        <s v="TAUA RESORT" u="1"/>
        <s v="ITAMARACA" u="1"/>
        <s v="HELIO TEIXEIRA" u="1"/>
        <s v="ITAMARACA " u="1"/>
        <s v="FAZ.NOVO HORIZONTE" u="1"/>
        <s v="NOVA ELETR." u="1"/>
        <s v="PLASTICO TROPICAIS " u="1"/>
        <s v="RODRIGO RAMOS TORRES" u="1"/>
        <s v="COFERMON" u="1"/>
        <s v="FRAGMINAS" u="1"/>
        <s v="INSTITUTO DA CRIANÇA LTDA" u="1"/>
        <s v="CMC COM." u="1"/>
        <s v="MINER. SERRA OESTE" u="1"/>
        <s v="COOPERAT. DE RAUL SOARES" u="1"/>
        <s v="RODOLFO GIANNETI FAZ. ST TERE" u="1"/>
        <s v="MILPLAN" u="1"/>
        <s v="ESO MATS.ELETR" u="1"/>
        <s v="ITAPLASTICOS" u="1"/>
        <s v="M&amp;K INST. PROJ. EIRELI" u="1"/>
        <s v="RAÇOES DO VALE" u="1"/>
        <s v="MINA TUCANO" u="1"/>
        <s v="ALW EQUIPAM." u="1"/>
        <s v="USINA SIDER. ATLAS" u="1"/>
        <s v="ELIVANE BARBOSA MEDEIROS" u="1"/>
        <s v="IND.COM.MASSIOLITE" u="1"/>
        <s v="BASSI INCORPOR." u="1"/>
        <s v="USIMINAS" u="1"/>
        <s v="USIMINAS " u="1"/>
        <s v="EXTRATIVA MINERAL" u="1"/>
        <s v="GOLD MIN. METALURGIA" u="1"/>
        <s v="MINERAÇAO SERRAS DO OESTE" u="1"/>
        <s v="MINERAÇÃO SERRAS DO OESTE" u="1"/>
        <s v="MCR - MINERAÇÃO" u="1"/>
        <s v="PNEUTEX" u="1"/>
        <s v="FRICORIFICO VENCEDOR" u="1"/>
        <s v="CSN VOLTA RED." u="1"/>
        <s v="MANIA CRISTINA NEVES" u="1"/>
        <s v="TECNO TEMP" u="1"/>
        <s v="TECNO TEMP " u="1"/>
        <s v="JUCIMARA ALVES" u="1"/>
        <s v="FRICAL ALIMENTOS" u="1"/>
        <s v="RIOPLASTIC" u="1"/>
        <s v="LATICINIOS MONTE CELESTE" u="1"/>
        <s v="SR EMBALAG." u="1"/>
        <s v="SOUZA CRUZ" u="1"/>
        <s v="LENZ ELETRICA" u="1"/>
        <s v="LATIC. BELINHO" u="1"/>
        <s v="CEDRO E CACHOEIRA " u="1"/>
        <s v="GSM MINERACAO" u="1"/>
        <s v="CAFÉ DOM PEDRO" u="1"/>
        <s v="UNIÃO COMERCIAL" u="1"/>
        <s v="VIVANTE S.A" u="1"/>
        <s v="SAULO ADJUNTO" u="1"/>
        <s v="H.M SISTEMAS ELETRICOS" u="1"/>
        <s v="COMERCIAL COMAG" u="1"/>
      </sharedItems>
    </cacheField>
    <cacheField name="VENDEDOR" numFmtId="0">
      <sharedItems containsMixedTypes="1" containsNumber="1" containsInteger="1" minValue="0" maxValue="0" count="2">
        <e v="#N/A"/>
        <n v="0" u="1"/>
      </sharedItems>
    </cacheField>
    <cacheField name="NATUREZA" numFmtId="0">
      <sharedItems containsNonDate="0" containsBlank="1" count="17">
        <m/>
        <s v="KIT/REV." u="1"/>
        <s v="KIT" u="1"/>
        <s v="MATERIAL" u="1"/>
        <s v="SERVIÇOS" u="1"/>
        <s v="SERVIÇOS/MATERIAL" u="1"/>
        <s v="SERVIÇOS/PAINEL/KIT / VER" u="1"/>
        <s v="KIT / REV" u="1"/>
        <s v="SERVIÇOS/REVENDA" u="1"/>
        <s v="SERVIÇOS/PAINEL" u="1"/>
        <s v="SERVIÇO" u="1"/>
        <s v="DEMONSTRATIVO - N/CONTAB." u="1"/>
        <e v="#N/A" u="1"/>
        <s v="INDUST." u="1"/>
        <s v="PAINEL" u="1"/>
        <s v="KIT / VER" u="1"/>
        <s v="REVENDA" u="1"/>
      </sharedItems>
    </cacheField>
    <cacheField name="CÓD. PRODUTO" numFmtId="0">
      <sharedItems containsNonDate="0" containsString="0" containsBlank="1"/>
    </cacheField>
    <cacheField name="DATA EMISSÃO" numFmtId="14">
      <sharedItems containsNonDate="0" containsString="0" containsBlank="1" count="1">
        <m/>
      </sharedItems>
    </cacheField>
    <cacheField name="VALOR DA NF COM IMPOSTO" numFmtId="166">
      <sharedItems/>
    </cacheField>
    <cacheField name="OBSERVAÇÃO" numFmtId="166">
      <sharedItems containsNonDate="0" containsBlank="1" count="44">
        <m/>
        <s v="PAGO 21/12" u="1"/>
        <s v="100 KT-S4506/DJ" u="1"/>
        <s v="R$18009,71MO" u="1"/>
        <s v="50 KT-S4506/D24" u="1"/>
        <s v="PI SEM MONTAGEM - BAIXA MP" u="1"/>
        <s v="MLM - COMISSÃO PENDENTE" u="1"/>
        <s v="venda BNDS" u="1"/>
        <s v="MONT.38 CONEC. NOD." u="1"/>
        <s v="MONT. LED/BORNES" u="1"/>
        <s v="S/MONT. SO MT" u="1"/>
        <s v="KT-LC2D12F7 110V" u="1"/>
        <s v="S/OP" u="1"/>
        <s v="VENDA BNDES" u="1"/>
        <s v=" MLM" u="1"/>
        <s v="SUBST NF 286" u="1"/>
        <s v="MLM" u="1"/>
        <s v="SUBSTITUIDA NF 56" u="1"/>
        <s v="KT-UNI.COB.S-906 STECK" u="1"/>
        <s v=" 02 TOM.JUMBO 200A" u="1"/>
        <s v="A&amp;C" u="1"/>
        <s v="03 TOM. SOBR. 1 H." u="1"/>
        <s v="CANCELADA" u="1"/>
        <s v="VENDA A&amp;C" u="1"/>
        <s v="REVENDA MATERIAL" u="1"/>
        <s v="VENDA A&amp;C " u="1"/>
        <s v="EXEC. GLAYSSON" u="1"/>
        <s v="COMISSÃO DANFOSS" u="1"/>
        <s v="KIT.CONEC.. NOD." u="1"/>
        <s v="KT- UNID. COMBIN.S309" u="1"/>
        <s v="NF DE SERVIÇO REFERENTE A PAINEL" u="1"/>
        <s v="2AN" u="1"/>
        <s v="VENDA BNDS." u="1"/>
        <s v="VENDA PELO BNDES" u="1"/>
        <s v="INICIO NOVO PERIODO" u="1"/>
        <s v="KT - UNID.COMBIN.S-906" u="1"/>
        <s v="ENTRADA/PAGA" u="1"/>
        <s v="KIT.CONEC. NOD" u="1"/>
        <s v="SEM MONTAGEM" u="1"/>
        <s v="OP DA MLM" u="1"/>
        <s v="VENDA MATER." u="1"/>
        <s v="ASSISTENCIA" u="1"/>
        <s v="ASTEC" u="1"/>
        <s v="FO RNEC.SOM. CX" u="1"/>
      </sharedItems>
    </cacheField>
    <cacheField name="TIPO" numFmtId="0">
      <sharedItems containsNonDate="0" containsBlank="1" count="3">
        <m/>
        <s v="NORMAL" u="1"/>
        <s v="EXTRA" u="1"/>
      </sharedItems>
    </cacheField>
    <cacheField name="MÊS FATURAMENTO" numFmtId="0">
      <sharedItems count="14">
        <s v="--"/>
        <s v="JANEIRO" u="1"/>
        <s v="ABRIL" u="1"/>
        <s v="JULHO" u="1"/>
        <s v="DEZEMBRO" u="1"/>
        <s v="OUTUBRO" u="1"/>
        <s v="JUNHO" u="1"/>
        <s v="FORA DO CALENDARIO" u="1"/>
        <s v="SETEMBRO" u="1"/>
        <s v="MAIO" u="1"/>
        <s v="NOVEMBRO" u="1"/>
        <s v="AGOSTO" u="1"/>
        <s v="MARÇO" u="1"/>
        <s v="FEVEREIRO" u="1"/>
      </sharedItems>
    </cacheField>
    <cacheField name="ANO FATURAMENTO" numFmtId="0">
      <sharedItems containsSemiMixedTypes="0" containsString="0" containsNumber="1" containsInteger="1" minValue="1900" maxValue="2022" count="7">
        <n v="1900"/>
        <n v="2022" u="1"/>
        <n v="2020" u="1"/>
        <n v="2018" u="1"/>
        <n v="2021" u="1"/>
        <n v="2019" u="1"/>
        <n v="2017" u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dmilla Silveira" refreshedDate="46275.443904976855" createdVersion="4" refreshedVersion="8" minRefreshableVersion="3" recordCount="94" xr:uid="{00000000-000A-0000-FFFF-FFFF14000000}">
  <cacheSource type="worksheet">
    <worksheetSource name="LAN_OP"/>
  </cacheSource>
  <cacheFields count="39">
    <cacheField name="OP/OS" numFmtId="0">
      <sharedItems containsNonDate="0" containsString="0" containsBlank="1" containsNumber="1" containsInteger="1" minValue="1078" maxValue="475110" count="95">
        <m/>
        <n v="4356" u="1"/>
        <n v="4407" u="1"/>
        <n v="4340" u="1"/>
        <n v="4391" u="1"/>
        <n v="4324" u="1"/>
        <n v="4375" u="1"/>
        <n v="4308" u="1"/>
        <n v="4359" u="1"/>
        <n v="1099" u="1"/>
        <n v="4410" u="1"/>
        <n v="4343" u="1"/>
        <n v="4394" u="1"/>
        <n v="4378" u="1"/>
        <n v="4362" u="1"/>
        <n v="1083" u="1"/>
        <n v="4346" u="1"/>
        <n v="4397" u="1"/>
        <n v="4381" u="1"/>
        <n v="4365" u="1"/>
        <n v="4349" u="1"/>
        <n v="4400" u="1"/>
        <n v="4384" u="1"/>
        <n v="4368" u="1"/>
        <n v="468741" u="1"/>
        <n v="4352" u="1"/>
        <n v="4403" u="1"/>
        <n v="4387" u="1"/>
        <n v="1106" u="1"/>
        <n v="4371" u="1"/>
        <n v="4355" u="1"/>
        <n v="4406" u="1"/>
        <n v="1094" u="1"/>
        <n v="4390" u="1"/>
        <n v="4374" u="1"/>
        <n v="4358" u="1"/>
        <n v="4409" u="1"/>
        <n v="4342" u="1"/>
        <n v="4393" u="1"/>
        <n v="1078" u="1"/>
        <n v="4377" u="1"/>
        <n v="4310" u="1"/>
        <n v="4361" u="1"/>
        <n v="4412" u="1"/>
        <n v="467547" u="1"/>
        <n v="465589" u="1"/>
        <n v="4396" u="1"/>
        <n v="4380" u="1"/>
        <n v="4313" u="1"/>
        <n v="4364" u="1"/>
        <n v="1113" u="1"/>
        <n v="4348" u="1"/>
        <n v="4399" u="1"/>
        <n v="4383" u="1"/>
        <n v="1105" u="1"/>
        <n v="475110" u="1"/>
        <n v="4367" u="1"/>
        <n v="1101" u="1"/>
        <n v="4351" u="1"/>
        <n v="4402" u="1"/>
        <n v="4386" u="1"/>
        <n v="4370" u="1"/>
        <n v="4354" u="1"/>
        <n v="4405" u="1"/>
        <n v="4338" u="1"/>
        <n v="4389" u="1"/>
        <n v="4373" u="1"/>
        <n v="4357" u="1"/>
        <n v="4408" u="1"/>
        <n v="4290" u="1"/>
        <n v="4341" u="1"/>
        <n v="4392" u="1"/>
        <n v="4376" u="1"/>
        <n v="4258" u="1"/>
        <n v="4309" u="1"/>
        <n v="4360" u="1"/>
        <n v="4411" u="1"/>
        <n v="4344" u="1"/>
        <n v="4395" u="1"/>
        <n v="1108" u="1"/>
        <n v="4379" u="1"/>
        <n v="4363" u="1"/>
        <n v="4347" u="1"/>
        <n v="4398" u="1"/>
        <n v="4331" u="1"/>
        <n v="4382" u="1"/>
        <n v="4366" u="1"/>
        <n v="4350" u="1"/>
        <n v="4401" u="1"/>
        <n v="4385" u="1"/>
        <n v="4369" u="1"/>
        <n v="4353" u="1"/>
        <n v="4404" u="1"/>
        <n v="4388" u="1"/>
        <n v="4372" u="1"/>
      </sharedItems>
    </cacheField>
    <cacheField name="ORDEM DE COMPRA" numFmtId="0">
      <sharedItems containsNonDate="0" containsString="0" containsBlank="1"/>
    </cacheField>
    <cacheField name="DATA O.C (INICIO)" numFmtId="0">
      <sharedItems containsNonDate="0" containsString="0" containsBlank="1"/>
    </cacheField>
    <cacheField name="CLIENTE INTERNO" numFmtId="0">
      <sharedItems containsNonDate="0" containsBlank="1" count="4">
        <m/>
        <s v="A&amp;C - ENG" u="1"/>
        <s v="MLM" u="1"/>
        <s v="A&amp;C - VENDAS" u="1"/>
      </sharedItems>
    </cacheField>
    <cacheField name="CLIENTE EXTERNO" numFmtId="0">
      <sharedItems containsNonDate="0" containsBlank="1" count="112">
        <m/>
        <s v="SOUZA CRUZ" u="1"/>
        <s v="DESCO" u="1"/>
        <s v="SOUZA CRUZ - RS" u="1"/>
        <s v="MSD PA" u="1"/>
        <s v="ESTILOS VIDROS" u="1"/>
        <s v="H.P PAPEIS" u="1"/>
        <s v="SAUDALI" u="1"/>
        <s v="FAZENDA SANTA TEREZINHA" u="1"/>
        <s v="ESCO - SOLDERING" u="1"/>
        <s v="NEMAK" u="1"/>
        <s v="SUSTENTAR ENERGIA FOTOVOLTAICA" u="1"/>
        <s v="NEMAK " u="1"/>
        <s v="AUSTEN / DA MATA" u="1"/>
        <s v="SWB" u="1"/>
        <s v="KINROSS" u="1"/>
        <s v="EDSON LAZARINI" u="1"/>
        <s v="MILPLAN" u="1"/>
        <s v="IMA" u="1"/>
        <s v="MINER. RIO DO NORTE" u="1"/>
        <s v="CONTROLLMASTER" u="1"/>
        <s v="G2LM CONSULTORIA" u="1"/>
        <s v="COMISA" u="1"/>
        <s v="ELETRICA CEMIL" u="1"/>
        <s v="BRK AMBIENTAL" u="1"/>
        <s v="ANGLOGOLD" u="1"/>
        <s v="CENTRO HOSPITALAR S.FRANCISCO" u="1"/>
        <s v="MAGNA" u="1"/>
        <s v="MSD" u="1"/>
        <s v="TEKSID" u="1"/>
        <s v="PONTE NOVA PAPEIS" u="1"/>
        <s v="CONSTRUTORA TERRACO" u="1"/>
        <s v="JAGUAR MINING" u="1"/>
        <s v="WG SINTERIZAÇÃO" u="1"/>
        <s v="SMF CABOS" u="1"/>
        <s v="FITTER" u="1"/>
        <s v="PORTO ALEGRE" u="1"/>
        <s v="ACUMENT" u="1"/>
        <s v="AUMAX" u="1"/>
        <s v="UFMG" u="1"/>
        <s v="KUTTNER" u="1"/>
        <s v="FOTOVOLT" u="1"/>
        <s v="AÇOTEL" u="1"/>
        <s v="CONSFAT ENGENHARIA" u="1"/>
        <s v="HT HIDRAUTRÔNICA" u="1"/>
        <s v="COMERCIO DE VIDROS E ESQUADRILHAS" u="1"/>
        <s v="AEG" u="1"/>
        <s v="VELOSO COFFEE" u="1"/>
        <s v="AMBAR AUTOMAÇÃO" u="1"/>
        <s v="DTR VMS" u="1"/>
        <s v="NELIO LEOPOLDO SOARES" u="1"/>
        <s v="EMMIL ENGª." u="1"/>
        <s v="ERIEZ" u="1"/>
        <s v="NEPEAN" u="1"/>
        <s v="FORTALEZA STA TEREZINHA" u="1"/>
        <s v="BELFAR" u="1"/>
        <s v="AVG SIDERURG." u="1"/>
        <s v="ENGEFRIL" u="1"/>
        <s v="TUPY" u="1"/>
        <s v="ALLONDA" u="1"/>
        <s v="MARCELO RODARTE" u="1"/>
        <s v="ALS BRASIL LTDA" u="1"/>
        <s v="SAMBER ELETRICA" u="1"/>
        <s v="PROK" u="1"/>
        <s v="CNH" u="1"/>
        <s v="GRUPO MBL" u="1"/>
        <s v="ADRIANO FARIA" u="1"/>
        <s v="DIMEZA" u="1"/>
        <s v="SERVMAQUINAS PEÇAS" u="1"/>
        <s v="FAZENDA DO RODOLFO" u="1"/>
        <s v="EDIVALDO ALVES" u="1"/>
        <s v="ELETRICA RODARTE" u="1"/>
        <s v="CBMM" u="1"/>
        <s v="INGLEZA" u="1"/>
        <s v="BAYTEK" u="1"/>
        <s v="DENISE ARAUJO" u="1"/>
        <s v="CIA FOTOVOLTAICA" u="1"/>
        <s v="SAFM" u="1"/>
        <s v="LATICINIOS PORTO ALEGRE" u="1"/>
        <s v="INSITUTO DA CRIANÇA" u="1"/>
        <s v="M LEAL" u="1"/>
        <s v="INTERCAST" u="1"/>
        <s v="ALPHA INSDUSTRIA" u="1"/>
        <s v="DESTILARIA VEREDAS" u="1"/>
        <s v="ARCERLOMITAL" u="1"/>
        <s v="POLIMIX CONCRETO" u="1"/>
        <s v="DESTI. VER" u="1"/>
        <s v="TEKSID DO BRASIL" u="1"/>
        <s v="MINERAÇÃO SERRA DOURADA" u="1"/>
        <s v="TEKFOR" u="1"/>
        <s v="SERV IMAGEM" u="1"/>
        <s v="DESTI. VEREDAS" u="1"/>
        <s v="MASCARENHAS BARBOSA" u="1"/>
        <s v="GSM MINERAÇÃO" u="1"/>
        <s v="GSM MINERAÇÃO " u="1"/>
        <s v="CARLOS OBERTO CORREA DA COSTA" u="1"/>
        <s v="MSD MT" u="1"/>
        <s v="SOLDERING - ESCO" u="1"/>
        <s v="GSM" u="1"/>
        <s v="SERRAS DO OESTE" u="1"/>
        <s v="REFRAMAX" u="1"/>
        <s v="NELIO LEOPOLDO" u="1"/>
        <s v="VEREDAS AGRO" u="1"/>
        <s v="S RIKO" u="1"/>
        <s v="TENCO" u="1"/>
        <s v="IGEO / HORIZONTE MINERALS" u="1"/>
        <s v="MINERAÇAO RIO DO NORTE" u="1"/>
        <s v="MINERAÇÃO RIO DO NORTE" u="1"/>
        <s v="MARY APARECIDA" u="1"/>
        <s v="NOGUEIRA DUARTE" u="1"/>
        <s v="BEMISA" u="1"/>
        <s v="SCIENTIFIC DENTAL" u="1"/>
      </sharedItems>
    </cacheField>
    <cacheField name="TIPO" numFmtId="0">
      <sharedItems containsNonDate="0" containsBlank="1" count="3">
        <m/>
        <s v="NORMAL" u="1"/>
        <s v="EXTRA" u="1"/>
      </sharedItems>
    </cacheField>
    <cacheField name="NATUREZA" numFmtId="0">
      <sharedItems containsNonDate="0" containsString="0" containsBlank="1"/>
    </cacheField>
    <cacheField name="DESCRIÇÃO REDUZIDA" numFmtId="0">
      <sharedItems containsNonDate="0" containsBlank="1" count="324">
        <m/>
        <s v="ET AL 058/20 - INSTALAÇÃO ELÉTRICA DO CALCINADOR SOGEMI" u="1"/>
        <s v="AUTOMAÇÃO LINHA VIRGÍNIA (PARTICIPAÇÃO DE TERCEIROS: R$10.000,00)" u="1"/>
        <s v="PARAMETRIZAÇÃO DE RELE" u="1"/>
        <s v="KT - PAINEL DIST. DE CARGAS QDC-C 220/127V" u="1"/>
        <s v="PAINEL ACIONAMENTO PRENSA DE AQUECIMENTO" u="1"/>
        <s v="PAINEL DE ILUMINAÇÃO E TOMADAS" u="1"/>
        <s v="KT - QUADRO GLICOL SALA DE MAQUINAS 380VCA R01 " u="1"/>
        <s v="SERVIÇOS DE ENGENHARIA EM CARROSSEL 13 MODALIDADE HH" u="1"/>
        <s v="MODIFICAÇÕES NA LINHA COMAS CFD - SILO 1" u="1"/>
        <s v="TPH17846 - AUTOMAÇÃO FIBEX – DEER UBERLÂNDIA" u="1"/>
        <s v="ASSISTÊNCIA EM LAVADORA CABEÇOTE GSE" u="1"/>
        <s v="KT - QUADRO CA-220V- DISJ. DE 125A -COM DPS" u="1"/>
        <s v="KT - QUADRO CA-380V- DISJ. DE 125A -COM DPS" u="1"/>
        <s v="ASSISTENCIA TÉCNICA" u="1"/>
        <s v="ASSISTÊNCIA TÉCNICA" u="1"/>
        <s v="SUPERVISÓRIO PARA GERENCIAMENTO MÁQUINAS" u="1"/>
        <s v="PAINEIS PARA SISTEMA WITLANDS" u="1"/>
        <s v="HORAS ADICIONAIS A OBRA DE ADEQUAÇÃO ELÉTRICA DA PLANTA DE COCALINHO" u="1"/>
        <s v="ASSISTÊNCIA TÉCNICA DE AUTOMAÇÃO NA MASIPACK" u="1"/>
        <s v="HOMEM HORA" u="1"/>
        <s v="KT - QUADRO DE DISTRIB. R-380V" u="1"/>
        <s v="KT - PAINEL ACION.E PROT.MOTOR 220V COM.24VCC" u="1"/>
        <s v="HORAS ADICIONAIS A OBRA DE RETROFIT COM FORNECIMENTO DE PROJETOS" u="1"/>
        <s v="TPH17928 - FORNECIMENTO DE LICENÇA MF WINCC PROFESSIONAL RT 8K V15" u="1"/>
        <s v="PROGRAMADOR SÊNIOR NA MODALIDADE HH" u="1"/>
        <s v="JUNÇÃO OS026/2019 E OS048/2019" u="1"/>
        <s v="SERVIÇOS E PAINEIS PARA INJETORA 17" u="1"/>
        <s v="CONFIGURAÇÃO DO INVERSOR DANFOSS EM PROFIBUS PLC STEP7 300" u="1"/>
        <s v="ASSISTENCIA TÉCNICA - INST DE MULTIMEDIDOR" u="1"/>
        <s v="PROGRAMAÇAO PLC, SUPERVISÓRIO E IHM DE CAMARAS DE RESFRIAMENTO" u="1"/>
        <s v="AUTOMAÇÃO CTS ADEQUACY – PMD UBERLÂNDIA" u="1"/>
        <s v="FORN. DE MATERIAIS E SERVIÇOS PARA AS CABINES DE TESTES" u="1"/>
        <s v="TPH17964 - CONVERSÃO SUPERVISÓRIO FIX32 PARA SIMATIC WINCC V15" u="1"/>
        <s v="KT - PAINEL REFRIGERACAO ESTOCAGEM" u="1"/>
        <s v="AMPLIAÇÃO DE ESTEIRAS TRANSPORTADORAS - SISTEMA DE CORTE" u="1"/>
        <s v="ASSITÊNCIA TÉCNICA EM PAINEL" u="1"/>
        <s v="KT - PAINEL REMOTO BOMBA E RETORNOS" u="1"/>
        <s v="IMPRESSÃO DE ETIQUETAS NÃO CONFORME PARA BANCADA DE TESTE" u="1"/>
        <s v="FORA DE ESCOPO OS0502020" u="1"/>
        <s v="PRESTAÇÃO DE SERVIÇOS PARA SISTEMA FILTER SCAN + PAINEL SISTEMA FILTER SCAN" u="1"/>
        <s v="KT - PAINEL BANCO DE CAPACITOR FIXO 30KVAR 380V" u="1"/>
        <s v="KT - QD.COMANDO P/BOMBA DO FILTRO V50 DE 1CV" u="1"/>
        <s v="MODIFICAÇÃO DA MESA RASTREABILIDADE 2700-6" u="1"/>
        <s v="CONTRATAÇÃO DE MÃO DE OBRA DE MENSAL" u="1"/>
        <s v="KT - PAINEL ACIONAM. DE COMPRESSOR 380V" u="1"/>
        <s v="PI - PAINEL REMOTO PLC" u="1"/>
        <s v="ASSISTÊNCIA NA MÁQUINA H70 - HOMEM HORA" u="1"/>
        <s v="CONTROLE DE TEMPERATURA DAS COQUILHAS DO CARROSSEL 5" u="1"/>
        <s v="ADEQUAÇÃO AUTOMAÇÃO BR1" u="1"/>
        <s v="PROCESSO DE MOLDAGEM HOT BOX EM COLD BOX NA SOPRADORA DE MACHOS SPH-30R" u="1"/>
        <s v="MELHORIAS EM SISTEMA DE ENVASE" u="1"/>
        <s v="TPH19533 - CONVERSÃO DE SOFTWARE DE IHM DA LINHA FIBEX" u="1"/>
        <s v="RETROFIT PARA ADEQUAÇÃO DE COMANDO PROJETO E INTERLIGAÇÃO" u="1"/>
        <s v="RELATÓRIO DE PRODUÇÃO - FILTRO DE LAMAS" u="1"/>
        <s v="ADEQUAÇÃO DE PROJETO E STARTUP DE FORNO" u="1"/>
        <s v="VENDA CP303-1" u="1"/>
        <s v="KT - UNI COMB 3P+T 63A 440V S-906 STECK" u="1"/>
        <s v="PRESTAÇÃO DE SERVIÇOS INSERÇÃO BOMBA BP22 NO SUPERVISORIO" u="1"/>
        <s v="ALTERAÇÕES NO SUPERVISÓRIO PARA GESTÃO DE PRODUÇÃO" u="1"/>
        <s v="QUADROS DE DISTRIBUIÇÃO 225A" u="1"/>
        <s v="KT - PAINEL DE TRANSFERENCIA DE CARGA 630A" u="1"/>
        <s v="INSTALAÇÃO ELÉTRICA DE PAINEL EXAUTOR 1000CV" u="1"/>
        <s v="SERVIÇOS DE ASSISTÊNCIA 063/2020 E 059/2020" u="1"/>
        <s v="PROGRAMADOR SÊNIOR NA MODALIDADE HH - USINAGEM" u="1"/>
        <s v="KT - QUADRO DIST. 1º PACTO 220/127VCA 3F+N+T 60HZ" u="1"/>
        <s v="ET AL 82/20 - FONECIMENTO DE SISTEMA DE EXAUSTÃO PARA MÁQUINAS H40" u="1"/>
        <s v="KT - PAINEL DISTRIBUIÇÃO QGBT -1 220V" u="1"/>
        <s v="KT - PAINEL REMOTO COMPRESSORES" u="1"/>
        <s v="KT - PAINEL ILUM. QDL 11 PONTOS 220V" u="1"/>
        <s v="HOMEM HORA FORNO 13 (132 HORAS)" u="1"/>
        <s v="TREINAMENTO LINHA GARBUIO" u="1"/>
        <s v="ASSISTÊNCIA TÉCNICA NA MODALIDADE H/H" u="1"/>
        <s v="KT - QUADRO LUZ TOMADAS QLT 01 -380VCA  " u="1"/>
        <s v="ASSISTENCIA TÉCNICA - BANCADA DE MONTAGEM" u="1"/>
        <s v="ASSISTENCIA TÉCNICA - SUBSTITUIÇÃO DE TC MEDIA TENSÃO" u="1"/>
        <s v="KT - QUADRO DE BOMBA DE PISCINA 220/127 3F+N+T" u="1"/>
        <s v="QUADRO DE ACIONAMENTO DE BOMBAS DE PSCINA 220VC" u="1"/>
        <s v="SERVIÇO DE INSTALAÇÃO ELÉTRICA PAINEL HPDC" u="1"/>
        <s v="VISITA TÉCNICA" u="1"/>
        <s v="KT - PAINEL BANCO DE CAPACITOR FIXO MOTOR 200CV 380V" u="1"/>
        <s v="ET AL 21/20 / PROGRAMAÇÃO PLC SPR30-2" u="1"/>
        <s v="VENDA CABO - TERMINAIS" u="1"/>
        <s v="FORA DE ESCOPO - INJETORA 17" u="1"/>
        <s v="ACOMPANHAMENTO TÉCNICO E STARTUP" u="1"/>
        <s v="PAINEL DE SIRENE BARRAGEM" u="1"/>
        <s v="KT - QUADRO DISTRIBUICAO QDC 220/380V " u="1"/>
        <s v="PLC E ROBÔTICA BUFFER SECUNDÁRIO – CARROSSEL 13" u="1"/>
        <s v="PAINEL ACIONAMENTO E PROTEÇÃO MOTOR - BOMBA 125CV - 380 V - 60HZ" u="1"/>
        <s v="PROJETO E RETOFIT DE COMANDO DOS MOINHOS - SANTANA DO ARAGUAIA-PA" u="1"/>
        <s v="PAINEL PARA SISTEMA DE BOMBEAMENTO 300CV - 440V" u="1"/>
        <s v="SISTEMA DE SEGURANÇA DO DCA" u="1"/>
        <s v="FORNECIMENTO DE SENSOR ORÇ. 26621" u="1"/>
        <s v="KT - PAINEL ACION.PROT.MOT.MAQ.CCM02 440V COM.24VCC" u="1"/>
        <s v="MODULO INTERFACE PROFINET I0-5 P/ CFW11" u="1"/>
        <s v="VISITA TECNICA PARA AVALIAÇÃO E CONDICIONAMENTO DA PLANTA DE NÍQUEL" u="1"/>
        <s v="ET AL 169/20 - SISTEMA DE EXAUSTÃO PARA EQUIPAMENTOS - CARROSSEL 5" u="1"/>
        <s v="PROJETO INSTALAÇÃO DE SOFT STARTER WEG" u="1"/>
        <s v="FORNECIMENTO DE SWITCH ORÇ. 26644" u="1"/>
        <s v="EMISSÃO DE ANILHAS IDENTIFICADORAS DE CABO" u="1"/>
        <s v="FORNECIMENTO DE SENSOR ORÇ. 29748" u="1"/>
        <s v="FORNECIMENTO DE VALVULAS" u="1"/>
        <s v="SERVIÇO DE INSTALAÇÃO SISTEMA DE SEGURANÇA HPDC" u="1"/>
        <s v="KT - PAINEL BOOMER 282" u="1"/>
        <s v="NR-12 DOS TRANSELEVADORES DA EXPEDIÇÃO" u="1"/>
        <s v="PAINEL GERAL LABORATÓRIO - QD-LAB-01" u="1"/>
        <s v="KT - PAINEL ACION PROT SIST DESPOEIR 8 FILT MANG 1 380V 150V" u="1"/>
        <s v="KT - PAINEL BCO. CAPACITORES 350KVAR 12 ESTAG.380VCA" u="1"/>
        <s v="CUBÍCULO DE MÉDIA TENSÃO 13,8KV" u="1"/>
        <s v="ADEQUAÇÃO CCM BRITAGEM E REBRITAGEM (RADINAN)" u="1"/>
        <s v="CONTROLES DE TEMPERATURA CARROSSÉIS 3 E 4" u="1"/>
        <s v="PAC 22 - FORNECIMENTO DE PROJETOS" u="1"/>
        <s v="SERVIÇOS PARA AUTOMAÇÃO DA LINHA DE ALIMENTAÇÃO AUTOMÁTICA DE CAIXAS C48" u="1"/>
        <s v="KT - PAINEL PROTECAO CA 380V  " u="1"/>
        <s v="CRIAÇÃO DE TELA DE SUPERVISÓRIO SISTEMA DE PREPARAÇÃO FLOCULANTE" u="1"/>
        <s v="FORNECIMENTO DE SENSOR ORÇ 22596" u="1"/>
        <s v="KT - PAINEL PART. SOFT START 15CV 380V60HZ" u="1"/>
        <s v="SIST DE CONTROLE PARA ALIMENTADOR DE CHAPA" u="1"/>
        <s v="AUTOMAÇÃO CCM'S UNIDADE METALURGICA" u="1"/>
        <s v="PRESTAÇÃO DE SERVIÇOS NA MODALIDADE HH" u="1"/>
        <s v="ASSISTENCIA TECNICA" u="1"/>
        <s v="AUTOMAÇÃO FORNO DE INDUÇÃO NEWELCO HATEBUR,70" u="1"/>
        <s v="KT - QUADRO DE DISTRIB.SOBREPOR 150A" u="1"/>
        <s v="START UP PAINEL DA BP06" u="1"/>
        <s v="ASSISTÊNCIA TÉCNICA DE AUTOMAÇÃO PARA CENTRIFUGA GEA - ÁREA UHT" u="1"/>
        <s v="ASSISTÊNCIA TÉCNICA SISTEMA DE SORO E MASIPACK" u="1"/>
        <s v="SERVIÇO DE ALTERAÇÃO PAINEL ELÉTRICO" u="1"/>
        <s v="KT - QUADRO CA-380V- DISJ. DE 80A -COM DPS" u="1"/>
        <s v="DESENVOLVIMENTO DE SISTEMA DE MEDIÇÃO CÂMARA DE COMBUSTÃO CSS" u="1"/>
        <s v="GANHO DE PRODUTIVIDADE LINHA BMD" u="1"/>
        <s v="SPDA - PLANTA FERRO PURO" u="1"/>
        <s v="KT - QUADRO DIST. DE FORÇAS 220/127VCA 3F+N+T 60HZ" u="1"/>
        <s v="FORNECIMENTO DE MOTOR ORÇ 27535" u="1"/>
        <s v="KT - PAINEL DISTRIB. DE CARGAS AREA BOMBA 220V" u="1"/>
        <s v="ASISTENCIA TÉCNICA INTERNA" u="1"/>
        <s v="KT - PAINEL ACIONAM. PROT. CCM01 440V COM. 24VCC" u="1"/>
        <s v="MONTAGEM DE CONECTORES EM UM ACHESON DA INJETORA 1500-3" u="1"/>
        <s v="ASSISTÊNCIA HH DUNK TEST - CABEÇOTE N3 E N4" u="1"/>
        <s v="FORNECIMENTO DE QDC'S E QGBT" u="1"/>
        <s v="AUTOMAÇÃO LINHA USINAGEM – BLOCO KAPPA HYUNDAI" u="1"/>
        <s v="KT - PAINEL COMANDO P/PROTECAO TORRE RTK 220V" u="1"/>
        <s v="PAINEL PLC - PROGRAMAÇÃO E COMISSIONAMENTO" u="1"/>
        <s v="KT - PAINEL PARA ACIONAM. E PROT. BOMBA" u="1"/>
        <s v="KT - QUADRO DISTRIB. QE-04-380V" u="1"/>
        <s v="KT - QUADRO DISTRIB. QE-05-380V" u="1"/>
        <s v="KT - QUADRO DISTRIB. QE-06-380V" u="1"/>
        <s v="KT - QUADRO DISTRIB. QE-07-380V" u="1"/>
        <s v="KT - QUADRO DISTRIB. QE-08-380V" u="1"/>
        <s v="TPH23012 - AUTOMAÇÃO TÚNEIS DE CINTAGEM E CINTADEIRAS" u="1"/>
        <s v="KT - PAINEL ENERG.ELETR.ILUMIN. 15KVA 220V 40A" u="1"/>
        <s v="DESENSIV. DE SOFTWARE DE CONTROLE EM PADRÃO DE PASSOS DE PLC E IHM E STARTUP DE SOPRADORAS H40-4 E H40-5" u="1"/>
        <s v="MÃO DE OBRA ELETRICISTA ESPECIALIZADO" u="1"/>
        <s v="ADICIONAL A OBRA DE RETROFIT PARA ADEQUAÇÃO DE COMANDO, PROJETO E INTERLIGAÇÃO DE MESA DE COMANDO" u="1"/>
        <s v="AUTOMAÇÃO NR12 PMD" u="1"/>
        <s v="AUTOMAÇÃO BA03 E BA04" u="1"/>
        <s v="KT - QUADRO CA-220V- DISJ. DE  200A -COM DPS" u="1"/>
        <s v="TPH17845 - AUTOMAÇÃO FIBEX – PMD UBERLÂNDIA" u="1"/>
        <s v="KT - PAINEL DE ACION BOMBA/VENTILADOR 75/100CV -460VCA" u="1"/>
        <s v="KT - PAINEL ACIONAMENTO PONTE ROLANTE" u="1"/>
        <s v="FORNECIMENTO DE SENSOR ORÇ. 24846" u="1"/>
        <s v="PROGRAMADOR SÊNIOR NA MODALIDADE HH - USINAGEM - COMPLEMENTO" u="1"/>
        <s v="KT - BANCO CAPACITOR 20KVAR 380VTS" u="1"/>
        <s v="SERVIÇOS DE PROGRAMAÇÃO OS016/2020 E OS017/2020" u="1"/>
        <s v="KT - UNID. COMB 3P+T 63A 440V +2P +T 32A 240V" u="1"/>
        <s v="VENDA DE MATERIAL" u="1"/>
        <s v="INVERSOR CFW 300" u="1"/>
        <s v="PAINÉIS PARA ACIONAMENTO E PROTEÇÃO DE MOTOR" u="1"/>
        <s v="KT - QUADRO DISTRIB. QE-03-220V" u="1"/>
        <s v="KT - QUADRO DISTRIBUIÇÃO QDG" u="1"/>
        <s v="ET AL 117/20 - ELABORAÇÃO DE SOFTWARE PARA PLC, SUPERVISÓRIO E ROBOT - CARROSSEL 5" u="1"/>
        <s v="CRIAÇÃO DE GRÁFICO DE TEMPERATURA E CORRENTE DO MOTOR DO GIRO PARA CARROSSEL 3" u="1"/>
        <s v="PROGRAMAÇÃO DE IHM'S DELTA - WEINTEK DE BANCADAS DE TESTE" u="1"/>
        <s v="MELHORIAS NA AUTOMAÇÃO - ITM" u="1"/>
        <s v="ASSISTENCIA TÉCNICA EM CONTATOR" u="1"/>
        <s v="ASSITÊNCIA TÉCNICA SACAM SP27" u="1"/>
        <s v="KT - PAINEL MONITORAMENTO E ALARME DOS SETORES 220/24VC" u="1"/>
        <s v="KT - PAINEL G. DIST. CARGAS QGBT 480/220VCA 3F+N+T" u="1"/>
        <s v="PAINEL QGBT COMPLEMENTAR - PROJETO DE LAMAS" u="1"/>
        <s v="ESTANQUEIDADE NEMAK" u="1"/>
        <s v="EXPORTAÇÃO DE GRÁFICOS DE TEMPERATURA DOS FORNOS DE 2 CARROSSÉIS" u="1"/>
        <s v="KT - BOTOEIRA COMPLETA LIGA/DES/EMER 22MM" u="1"/>
        <s v="VISITA FABIANO_TROCA DE BARRAMENTO" u="1"/>
        <s v="KT - PAINEL DE ACION BOMBA/VENTILADOR  75/100CV  -460VCA " u="1"/>
        <s v="FORNECIMENTO DE SERVIÇOS PARA ACIONAMENTO BOMBA_x000a_BP-17" u="1"/>
        <s v="KT - PAINEL REMOTO SECADORES DE MINERIO" u="1"/>
        <s v="ASSISTÊNCIA H/H CARROSSEL 5 - CABINE DE LIMPEZA 2 - CARROSSEL 5" u="1"/>
        <s v="JUNÇÃO OS091/2019 E OS103/2019" u="1"/>
        <s v="ALTERAÇÕES NO SISTEMA DE GOTEJAMENTO DO FILTRO E NOS SETPOINTS DAS BOMBAS BP19A, BP19B E BP19C" u="1"/>
        <s v="ASSITÊNCIA TÉCNICA (FORNECIMENTO DE CABO EM ESTOQUE)" u="1"/>
        <s v="SERVIÇO PARA MODIFICAÇÕES NO CARROSSEL 13" u="1"/>
        <s v="SOFTWARE SISTEMA DE EXAUSTÃO DA RIEDEL - MAQUINA DE CIGARROS" u="1"/>
        <s v="PROJETO CONCENTRAÇÃO C1" u="1"/>
        <s v="ADEQUAÇÃO E STARTUP DE SOFTWARE PARA INSTALAÇÃO DE TRAVESSA NA INJETORA 1800-12" u="1"/>
        <s v="CARROSSEL" u="1"/>
        <s v="ACOMPANHAMENTO STARTUP - INJETORA 1500-06" u="1"/>
        <s v="ALTERAÇÃO DE BARRAMENTOS E INSTALAÇÃO DE TC'S EAB" u="1"/>
        <s v="INSTALAÇÃO DE IM443 EM STEP7 400" u="1"/>
        <s v="KT - PAINEL DE DIST. E PROT. DE CARGAS CA 380V" u="1"/>
        <s v="KT - PAINEL DISTRIB.DE CARGAS QDE.01 220V" u="1"/>
        <s v="KT - CN1328/A -220V C/HASTE 1500MM" u="1"/>
        <s v="FORA DE ESCOPO PROJETO DE LAMAS - CHAVES DE ATERRAMENTO" u="1"/>
        <s v="PROGRAMADOR SÊNIOR NA MODALIDADE H/H" u="1"/>
        <s v="KT - UNID. COMB. MAQ. SOLDA TEK-SID" u="1"/>
        <s v="FORNECIMENTO DE TRANSMISSOR DE PRESSÃO TP510" u="1"/>
        <s v="SERVIÇO EM SOFTWARE NEMAK" u="1"/>
        <s v="ALTERAÇÃO DE MOTOR BP18" u="1"/>
        <s v="DESCRIÇÃO STARTUP DA SOPRADORA" u="1"/>
        <s v="SUBSTITUIÇÃO DA COMUNICAÇÃO ENTRE PLC'S DA LINHA VW" u="1"/>
        <s v="KT - QUADRO INJEÇÃO P/CONC.PAT.DIR. 5CV3CV440V60Hz" u="1"/>
        <s v="RETROFIT DO SPINDLE MAUS - MODALIDADE H/H" u="1"/>
        <s v="KT - PAINEL ACION. E PROT. MOTOR 220 COMANDO 24VCC" u="1"/>
        <s v="KT - BOTOEIRA 2 BOTOES LIGA/DESLIGA " u="1"/>
        <s v="KT - PAINEL PARA ACIONAMENTO E PROTEÇÃO APOLO 50/64KW 380/220V " u="1"/>
        <s v="KT - PAINEL DISTR.TOMADAS 63A KRP61TM000E002DE" u="1"/>
        <s v="KT - BANCO CAPACITOR 120KVAR 380V AUT." u="1"/>
        <s v="COMPLEMENTO FILTER SCAN" u="1"/>
        <s v="SUBESTAÇÃO ELÉTRICA" u="1"/>
        <s v="KT - PAINEL DISTRIB. DE CARGAS FORNOS 220V" u="1"/>
        <s v="AUTOMAÇÃO PLANTA FERRO PURO" u="1"/>
        <s v="KT - QCVAP-01 QUEIMADOR 01 " u="1"/>
        <s v="KT - CCM 440 60HZ" u="1"/>
        <s v="ALTERAÇÕES NAS LINHAS DE FINES E MANUTENÇÃO NAS EXTRUSORAS DE FIBEX" u="1"/>
        <s v="RETROFIT DO FORNO DA INJETORA 2300-17" u="1"/>
        <s v="ASSISTÊNCIA TÉCNICA REDE 13,8 / 6,5 KM" u="1"/>
        <s v="MODIFICAÇÃO PLC ROCKWELL CFD" u="1"/>
        <s v="KT - PAINEL DISTRIB. DE CARGAS QD-01 220V/127V" u="1"/>
        <s v="INSTALAÇÃO DE MULTIMEDIDOR" u="1"/>
        <s v="ADEQUAÇÃO E STARTUP DE SOFTWARE PARA INSTALAÇÃO DE TRAVESSA EM UMA INJETORA" u="1"/>
        <s v="KT - QUADRO DE TOMADA 440V" u="1"/>
        <s v="KT - PAINEL BANCO DE CAPACITOR FIXO MOTOR 150CV 380V" u="1"/>
        <s v="KT - PAINEL BANCO DE CAPACITOR FIXO MOTOR 250CV 380V" u="1"/>
        <s v="ATUALIZAÇÃO DO APLICATIVO DE PLC SIEMENS V13 PARA V15" u="1"/>
        <s v="FORNECIMENTO DE MATERIAIS ORÇ. 26590" u="1"/>
        <s v="ASSISTÊNCIA H/H INJETORA 15" u="1"/>
        <s v="SERVIÇO ADAPTAÇÃO DO SISTEMA_x000a_DA INJETORA10 PARA CODIFICAÇÃO VOLKSWAGEN." u="1"/>
        <s v="SERVIÇOS DE ENGENHARIA - PROGRAMAÇÃO SILAS (OP 2715, 2716, 2717)" u="1"/>
        <s v="PRESTAÇÃO DE SERVIÇOS PARA GERAÇÃO DE ETIQUETAS /PRENSA" u="1"/>
        <s v="ALTERAÇÃO NO SOFTWARE DO SISTEMA DE FILTRAGEM" u="1"/>
        <s v="KT - PAINEL DISTRIB. TOMADAS 16A 220V" u="1"/>
        <s v="MODIFICAÇÃO NA BR2 PARA INSTALAÇÃO DE DOIS SISTEMAS NA5" u="1"/>
        <s v="SERVIÇO PARA ADEQUAÇÃO ELÉTRICA - PLANTA DE COCALINHO - MT" u="1"/>
        <s v="FORNECIMENTO DE SENSOR ORÇ. 26222" u="1"/>
        <s v="ASSISTÊNCIA TÉCNICA - TROCA TC" u="1"/>
        <s v="SERVIÇOS PAINEL BOMBA E ESPESSADOR" u="1"/>
        <s v="KT - QUADRO DISTRIB. 250A C/DRS 10 CIRC." u="1"/>
        <s v="PAINEL PARA ACIONAMENTO E PROTEÇÃO SIST. MOAGEM" u="1"/>
        <s v="AUTOMAÇÃO E INSTRUMENTAÇÃO DA PLANTA DE CONCENTRAÇÃO C1" u="1"/>
        <s v="PROJETO FILTRAGEM DE LAMAS" u="1"/>
        <s v="SERVIÇO DE ENGENHARIA NA MODALIDADE HH" u="1"/>
        <s v="KT - PAINEL ACION.PROT.NO BREAK/MORETA 127V" u="1"/>
        <s v="INSTALAÇÃO DO BANCO DE DADOS SQL - CARROSSEL 4" u="1"/>
        <s v="RETROFIT NO C2 E ITM" u="1"/>
        <s v="ASSISTÊNCIA TÉCNICA  - HOMEM HORA" u="1"/>
        <s v="SISTEMA DE NÍVEIS SEPARADORES AMÔNIA" u="1"/>
        <s v="KT - PAINEL ACION.PROT.MAQ.TOMOGRAFIA QF-START 380-43-23" u="1"/>
        <s v="KT - PAINEL ACION PROT SIST DESPOEIR 1 FILT MANG 1 380V 200V" u="1"/>
        <s v="ASSISTÊNCIA TÉCNICA INJETORA 10 E 17" u="1"/>
        <s v="FORA DE ESCOPO HH - INJETORA 14" u="1"/>
        <s v="QUADRO DE DISTRIBUIÇÃO 400A" u="1"/>
        <s v="KT - PAINEL DISTRIB. CARGAS QDC 220/127V 60HZ " u="1"/>
        <s v="RM 10429293 ET - 1909 - ATUALIZAÇÃO DO SOFTWARE DA CABINE DE TESTES - GR18&amp;22" u="1"/>
        <s v="COMUNICAÇÃO ENTRE CONTROLLOGIX E EQUIPAMENTOS EM MODBUS" u="1"/>
        <s v="ASSISTÊNCIA TÉCNICA ENG PLENO NA MODALIDADE HH" u="1"/>
        <s v="FORNECIMENTO COMPLEMENTAR CONTRATO OS0502020" u="1"/>
        <s v="KT - PAINEL DISTRIB. CARGAS QDC 220/127V 60HZ" u="1"/>
        <s v="001660 - QUADRO DISTRIBUICAO EMBUTIR" u="1"/>
        <s v="ASSISTÊNCIA TÉCNICA - REINSTALAÇÃO DE TC" u="1"/>
        <s v="KT - PAINEL DISTRIBUICAO QGBT 02" u="1"/>
        <s v="KT - PAINEL QDG GALPAO DEP.ESTACIO 220VCA ADEQUAÇÃO" u="1"/>
        <s v="KT - PAINEL PROTECAO CA 220V " u="1"/>
        <s v="NR-12 RESY E BOBM UDI" u="1"/>
        <s v="KT - PAINEL QGBT-02" u="1"/>
        <s v="QUADROS DE DISTRIBUIÇÃO 125A E 150A" u="1"/>
        <s v="MELHORIA FLUXO FUNCIONAMENTO CARROSSEL 4" u="1"/>
        <s v="INTERLIGAÇÃO DE QUADRO E MESA DE COMANDO DE BENEFICIAMENTO DE MINÉRIO" u="1"/>
        <s v="FORNECIMENTO DE PAINEL E AUTOMAÇÃO PARA SISTEMA DE FLOTAÇÃO" u="1"/>
        <s v="PROGRAMAÇÃO DE ENTRADA ANALÓGICA E INDICAÇÃO NO SUPERVISÓRIO PARA TRANSDUTOR DE PRESSÃO" u="1"/>
        <s v="FORNECIMENTO DE MATERIAIS E MÃO DE OBRA PARA AMPLIAÇÃO DA PRODUÇÃO" u="1"/>
        <s v="KT - PAINEL REMOTO MAQUINAS 01.02.03.04 CCM02" u="1"/>
        <s v="REVENDA PAINÉIS" u="1"/>
        <s v="AS BUILT DOS PROJETOS ANDRITZ - FILTRAGEM DE LAMAS" u="1"/>
        <s v="TROCA DE ENDEREÇO DE REDE DE ACIONAMENTO" u="1"/>
        <s v="FORNECIMENTO TERMINAL ORÇ. 27954" u="1"/>
        <s v="ADEQUAÇÃO ELÉTRICA INJETORA 14" u="1"/>
        <s v="AUTOMAÇÃO PÁTIO G" u="1"/>
        <s v="SISTEMA DE CONTROLE DE TEMPERATURA SAÍDA TUNEL CARROSSEL 13" u="1"/>
        <s v="FORA DE ESCOPO - ASSISTÊNCIA CARROSSEL " u="1"/>
        <s v="ASSISTÊNCIA DIVERSAS MODALIDADE HH" u="1"/>
        <s v="ASSISTENCIA TÉCNICA LINHA DE USINAGEM VW" u="1"/>
        <s v="USINA DE GERAÇÃO A DIESEL 6MVA" u="1"/>
        <s v="KT - PAINEL REMOTO FILTRO DE MANGAS MINEIRO" u="1"/>
        <s v="KT – BANCO CAPACITOR 15KVAR 380V – FIXO" u="1"/>
        <s v="KT – BANCO CAPACITOR 30KVAR 380V – FIXO" u="1"/>
        <s v="ASSITÊNCIA TÉCNICA - ALTERAÇÃO EM FUNCIONAMENTO DE MÁQUINA" u="1"/>
        <s v="AUTOMAÇÃO LINHA USINAGEM – CABEÇOTE KAPPA HYUNDAI" u="1"/>
        <s v="KT - PAINEL DE ACIONAMENTO DA SERRA DE FITA-380V/24VCC-NR12 " u="1"/>
        <s v="ASSISTÊNCIA HH SPO" u="1"/>
        <s v="PAINEL TESTE DE INTEGRIDADE" u="1"/>
        <s v="LOGICA PARA COMANDO E ACIONAMENTO" u="1"/>
        <s v="RELATÓRIO DE MONITORAMENTO DE CONSUMO DE MICRO INGREDIENTES" u="1"/>
        <s v="MODIFICAÇÃO DO GIRO - CARROSSEL 3" u="1"/>
        <s v="KT – BANCO CAPACITOR 17,5KVAR 380V – FIXO" u="1"/>
        <s v="FORNECIMENTO DE TRANSFORMADOR E FONTE ORÇ. 25576" u="1"/>
        <s v="KT - PAINEL TOMADA JUMBO 200A" u="1"/>
        <s v="PAINEL PARA CONTROLADOR DE SOLDA" u="1"/>
        <s v="SERVIÇOS DE ADEQUAÇÃO DE 4 TRANSFORMADORES" u="1"/>
        <s v="FORNECIMENTO DE SERVIÇO" u="1"/>
        <s v="INSERÇÃO DE EQUIPAMENTOS DOS TANQUES DE FLOCULANTES NO SISTEMA SUPERVISÓRIO" u="1"/>
        <s v="KT - PAINEL DISTRIBUICAO QGBT 001" u="1"/>
        <s v="KT - PAINEL REM.LAVADOR GASES BOMBA FILTRO PRENSA" u="1"/>
        <s v="SISTEMA DE CONTROLE REMOTA C2" u="1"/>
        <s v="KIT ALOISIO" u="1"/>
        <s v="KIT QDL" u="1"/>
        <s v="ASSISTÊNCIA - HATEBUR 50" u="1"/>
        <s v="TANQUE NO SISTEMA DE COZIMENTO DE PRESUNTO" u="1"/>
        <s v="KT - PAINEL DISTRIBUIÇÃO 220V" u="1"/>
        <s v="CRIAÇÃO DE GRÁFICO DE TEMPERATURA E CORRENTE DO MOTOR DO GIRO" u="1"/>
        <s v="SISTEMA BANCO DE CAPACITOR 55 KVAR - ACIONAMENTO EXTERNO" u="1"/>
        <s v="PROG PLC E IHM SIST DE BOMB BARRAGEM PONTAL" u="1"/>
        <s v="ALTERAÇÕES DE ENDEREÇAMENTO - PLC ALTUS" u="1"/>
        <s v="SUBSTITUIÇÃO DE TRANSFORMADORES DE CORRENTE DA SUBESTAÇÃO" u="1"/>
        <s v="FORNECIMENTO ELETROCENTRO" u="1"/>
        <s v="SERVICO DE ENGENHARIA AUTOMAÇÃO DOS FILTROS MANGA SMD, PMD E CRD (REALIZADO EM CONTAGEM/MG)" u="1"/>
        <s v="ASSISTENCIA TÉCNICA PARA MELHORIAS NA LINHA GARBUIO" u="1"/>
      </sharedItems>
    </cacheField>
    <cacheField name="VENDEDOR" numFmtId="166">
      <sharedItems containsNonDate="0" containsBlank="1" count="79">
        <m/>
        <s v="FABIANO NEILOR" u="1"/>
        <s v="ENGENHARIA" u="1"/>
        <s v="RODRIGO" u="1"/>
        <s v="RODRIGO   " u="1"/>
        <s v="VICTOR" u="1"/>
        <s v="WALLACE" u="1"/>
        <s v="RODRIGO ALOÍSIO   " u="1"/>
        <s v="   FABIANO   NEILOR" u="1"/>
        <s v="MARCIO NEILOR" u="1"/>
        <s v="LUCAS" u="1"/>
        <s v=" ALEXANDRE FABIANO" u="1"/>
        <s v="SILAS" u="1"/>
        <s v="   ALOISIO" u="1"/>
        <s v="   MARCIO   NEILOR" u="1"/>
        <s v="SILAS   " u="1"/>
        <s v="ALOISIO  FLÁVIO" u="1"/>
        <s v="NEILOR   ALOÍSIO" u="1"/>
        <s v="DENILSON" u="1"/>
        <s v="ALOÍSIO / FABIANO" u="1"/>
        <s v="   FABIANO" u="1"/>
        <s v="ALOÍSIO" u="1"/>
        <s v="ALOÍSIO   " u="1"/>
        <s v="ROBERTO" u="1"/>
        <s v="RICARDO" u="1"/>
        <s v="NEILOR" u="1"/>
        <s v="NEILOR   " u="1"/>
        <s v="JEANE" u="1"/>
        <s v="SIMONE" u="1"/>
        <s v="   SILAS" u="1"/>
        <s v="SIDINEIA" u="1"/>
        <s v="LUIS FILIPE" u="1"/>
        <s v="MÁRCIO" u="1"/>
        <s v="MARCELO" u="1"/>
        <s v="CLEBER" u="1"/>
        <s v="MARCELO   " u="1"/>
        <s v="GUI/RON" u="1"/>
        <s v="JOSIANE" u="1"/>
        <s v="MARCIO / MARCELO" u="1"/>
        <s v=" SILAS MARCIO" u="1"/>
        <s v="CARLOS" u="1"/>
        <s v="GABRIEL" u="1"/>
        <s v="SILAS ALOISIO" u="1"/>
        <s v="RAMON" u="1"/>
        <s v=" ALOSIO SILAS" u="1"/>
        <s v="RODRIGO   FABIANO  " u="1"/>
        <s v="FABIANO" u="1"/>
        <s v="FABIANO   " u="1"/>
        <s v="LUIS MOREIRA" u="1"/>
        <s v="NIRLENE/MARCIO" u="1"/>
        <s v="ALOISIO" u="1"/>
        <s v="ALOISIO   " u="1"/>
        <s v="   FABIANO   ALOÍSIO" u="1"/>
        <s v="MARCIO" u="1"/>
        <s v="MARCIO   " u="1"/>
        <s v="NEIDE" u="1"/>
        <s v="FABIANO NEILOR   " u="1"/>
        <s v="   FABIANO   SILAS" u="1"/>
        <s v="CLAUDIO" u="1"/>
        <s v="SILAS GUI" u="1"/>
        <s v="   ALOISIO   FABIANO" u="1"/>
        <s v="   MARCIO" u="1"/>
        <s v="ALOSIO" u="1"/>
        <s v="NIRLENE" u="1"/>
        <s v="RADINAN" u="1"/>
        <s v="   ALOISIO   SILAS" u="1"/>
        <s v="NEILOR   MARCIO   " u="1"/>
        <s v="CLAUDIANO" u="1"/>
        <s v="NEILOR FABIANO" u="1"/>
        <s v="MARCELO FABIANO" u="1"/>
        <s v=" SILAS" u="1"/>
        <s v="   SILAS   ALOISIO" u="1"/>
        <s v="GILSON" u="1"/>
        <s v=" FABIANO NEILOR" u="1"/>
        <s v="JEFFERSON" u="1"/>
        <s v="FLAVIO" u="1"/>
        <s v="SILAS MARCINHO MLM" u="1"/>
        <s v="FLAVIO   " u="1"/>
        <s v=" ALOISIO FABIANO" u="1"/>
      </sharedItems>
    </cacheField>
    <cacheField name="VALOR CONTRATO" numFmtId="166">
      <sharedItems containsNonDate="0" containsString="0" containsBlank="1" containsNumber="1" minValue="68.27" maxValue="1850000" count="329">
        <m/>
        <n v="2781.04" u="1"/>
        <n v="7026.14" u="1"/>
        <n v="29851.98" u="1"/>
        <n v="3700" u="1"/>
        <n v="17719.86" u="1"/>
        <n v="4956.32" u="1"/>
        <n v="4285.6099999999997" u="1"/>
        <n v="148000" u="1"/>
        <n v="135915.35999999999" u="1"/>
        <n v="3486.53" u="1"/>
        <n v="150791.85999999999" u="1"/>
        <n v="2503.35" u="1"/>
        <n v="204014.04" u="1"/>
        <n v="65515.22" u="1"/>
        <n v="5400" u="1"/>
        <n v="910" u="1"/>
        <n v="181830.04" u="1"/>
        <n v="68.27" u="1"/>
        <n v="3385" u="1"/>
        <n v="22788.85" u="1"/>
        <n v="2137.34" u="1"/>
        <n v="1609.26" u="1"/>
        <n v="133034.34" u="1"/>
        <n v="5401.21" u="1"/>
        <n v="4356.8599999999997" u="1"/>
        <n v="1840" u="1"/>
        <n v="8074.17" u="1"/>
        <n v="1241504.19" u="1"/>
        <n v="4568.6499999999996" u="1"/>
        <n v="14120.97" u="1"/>
        <n v="1730283.21" u="1"/>
        <n v="85768.489999999991" u="1"/>
        <n v="66850.81" u="1"/>
        <n v="1452" u="1"/>
        <n v="4560.6400000000003" u="1"/>
        <n v="2597.86" u="1"/>
        <n v="7499.17" u="1"/>
        <n v="1199.94" u="1"/>
        <n v="1355.5" u="1"/>
        <n v="5038" u="1"/>
        <n v="1820.8" u="1"/>
        <n v="4216.1000000000004" u="1"/>
        <n v="25159.23" u="1"/>
        <n v="7000" u="1"/>
        <n v="4100.76" u="1"/>
        <n v="2336.0500000000002" u="1"/>
        <n v="600.54" u="1"/>
        <n v="7924.66" u="1"/>
        <n v="333409.42" u="1"/>
        <n v="850" u="1"/>
        <n v="8048" u="1"/>
        <n v="15200" u="1"/>
        <n v="41557.199999999997" u="1"/>
        <n v="10000" u="1"/>
        <n v="4401.95" u="1"/>
        <n v="1837.1" u="1"/>
        <n v="2545.77" u="1"/>
        <n v="8164.33" u="1"/>
        <n v="39852.36" u="1"/>
        <n v="22513.48" u="1"/>
        <n v="20981.75" u="1"/>
        <n v="37101.89" u="1"/>
        <n v="17200" u="1"/>
        <n v="2176.13" u="1"/>
        <n v="14897.6" u="1"/>
        <n v="3350" u="1"/>
        <n v="4062.52" u="1"/>
        <n v="18332.580000000002" u="1"/>
        <n v="24890" u="1"/>
        <n v="36921.57" u="1"/>
        <n v="78504.37" u="1"/>
        <n v="40846.43" u="1"/>
        <n v="12583.79" u="1"/>
        <n v="18760.77" u="1"/>
        <n v="94300" u="1"/>
        <n v="9469.8799999999992" u="1"/>
        <n v="6000" u="1"/>
        <n v="37374.33" u="1"/>
        <n v="23000" u="1"/>
        <n v="2853.88" u="1"/>
        <n v="13921.62" u="1"/>
        <n v="6112.2" u="1"/>
        <n v="1475362.24" u="1"/>
        <n v="10600" u="1"/>
        <n v="2873.63" u="1"/>
        <n v="1275" u="1"/>
        <n v="3350.38" u="1"/>
        <n v="283.45999999999998" u="1"/>
        <n v="2320.8000000000002" u="1"/>
        <n v="2050.38" u="1"/>
        <n v="2460" u="1"/>
        <n v="2200" u="1"/>
        <n v="4480" u="1"/>
        <n v="13862.75" u="1"/>
        <n v="874.51" u="1"/>
        <n v="8237.25" u="1"/>
        <n v="5190.95" u="1"/>
        <n v="995.09" u="1"/>
        <n v="264477.36" u="1"/>
        <n v="19288.88" u="1"/>
        <n v="50130.77" u="1"/>
        <n v="116.4" u="1"/>
        <n v="2180.7399999999998" u="1"/>
        <n v="1881.03" u="1"/>
        <n v="1462.13" u="1"/>
        <n v="2535.13" u="1"/>
        <n v="6218.4797009999993" u="1"/>
        <n v="11575.12" u="1"/>
        <n v="6504.04" u="1"/>
        <n v="12445" u="1"/>
        <n v="220164.2755079685" u="1"/>
        <n v="5094.2700000000004" u="1"/>
        <n v="1227916.1299999999" u="1"/>
        <n v="69274.06" u="1"/>
        <n v="27586.560000000001" u="1"/>
        <n v="1515.74" u="1"/>
        <n v="19476.71" u="1"/>
        <n v="6032.5" u="1"/>
        <n v="7505.53" u="1"/>
        <n v="1000000" u="1"/>
        <n v="3436.77" u="1"/>
        <n v="9193.68" u="1"/>
        <n v="14100" u="1"/>
        <n v="22892.1" u="1"/>
        <n v="223844.66" u="1"/>
        <n v="8900" u="1"/>
        <n v="16899.72" u="1"/>
        <n v="6506.72" u="1"/>
        <n v="104734.42" u="1"/>
        <n v="800" u="1"/>
        <n v="5132.32" u="1"/>
        <n v="9400.41" u="1"/>
        <n v="46107.62" u="1"/>
        <n v="2478.56" u="1"/>
        <n v="1490.73" u="1"/>
        <n v="129999.25" u="1"/>
        <n v="85197.42" u="1"/>
        <n v="36514.361320000004" u="1"/>
        <n v="1295" u="1"/>
        <n v="23501.57" u="1"/>
        <n v="2282.4" u="1"/>
        <n v="4056.13" u="1"/>
        <n v="7777.64" u="1"/>
        <n v="2948.28" u="1"/>
        <n v="13183.6" u="1"/>
        <n v="76384.350000000006" u="1"/>
        <n v="3020" u="1"/>
        <n v="24264.83" u="1"/>
        <n v="10310.549999999999" u="1"/>
        <n v="2500" u="1"/>
        <n v="9500" u="1"/>
        <n v="300" u="1"/>
        <n v="3804" u="1"/>
        <n v="12338.94" u="1"/>
        <n v="2108.67" u="1"/>
        <n v="136000" u="1"/>
        <n v="29835.65" u="1"/>
        <n v="29405" u="1"/>
        <n v="5868" u="1"/>
        <n v="21824.1" u="1"/>
        <n v="9800" u="1"/>
        <n v="724.13" u="1"/>
        <n v="70130" u="1"/>
        <n v="1500" u="1"/>
        <n v="2959.56" u="1"/>
        <n v="119900.71" u="1"/>
        <n v="6207.74" u="1"/>
        <n v="41676" u="1"/>
        <n v="140.61000000000001" u="1"/>
        <n v="2999.54" u="1"/>
        <n v="77122.149999999994" u="1"/>
        <n v="4080" u="1"/>
        <n v="992.52" u="1"/>
        <n v="8523.0400000000009" u="1"/>
        <n v="84000" u="1"/>
        <n v="3050.18" u="1"/>
        <n v="2140.1799999999998" u="1"/>
        <n v="7720" u="1"/>
        <n v="131480" u="1"/>
        <n v="550" u="1"/>
        <n v="4895.63" u="1"/>
        <n v="25922.560000000001" u="1"/>
        <n v="37353.61" u="1"/>
        <n v="378.95" u="1"/>
        <n v="2310.0500000000002" u="1"/>
        <n v="13000" u="1"/>
        <n v="1250" u="1"/>
        <n v="5493.8899999999994" u="1"/>
        <n v="10353.27" u="1"/>
        <n v="788.74" u="1"/>
        <n v="4167" u="1"/>
        <n v="53991.77" u="1"/>
        <n v="18000" u="1"/>
        <n v="11252.46" u="1"/>
        <n v="121389.08" u="1"/>
        <n v="1379.4" u="1"/>
        <n v="83.56" u="1"/>
        <n v="6448.87" u="1"/>
        <n v="13300" u="1"/>
        <n v="9360.06" u="1"/>
        <n v="1250.9100000000001" u="1"/>
        <n v="27550" u="1"/>
        <n v="717.56" u="1"/>
        <n v="29000" u="1"/>
        <n v="109749.77" u="1"/>
        <n v="9544.43" u="1"/>
        <n v="57000" u="1"/>
        <n v="50255.75" u="1"/>
        <n v="798.07" u="1"/>
        <n v="34439.589999999997" u="1"/>
        <n v="1150752.9099999999" u="1"/>
        <n v="4105.46" u="1"/>
        <n v="1910" u="1"/>
        <n v="2738.95" u="1"/>
        <n v="2624.09" u="1"/>
        <n v="1037703.72" u="1"/>
        <n v="24733.98" u="1"/>
        <n v="8184.79" u="1"/>
        <n v="6447.41" u="1"/>
        <n v="10546.9" u="1"/>
        <n v="8275.73" u="1"/>
        <n v="1629294.394224467" u="1"/>
        <n v="37400" u="1"/>
        <n v="72800" u="1"/>
        <n v="63013.53" u="1"/>
        <n v="7117.42" u="1"/>
        <n v="6159.56" u="1"/>
        <n v="224915.8" u="1"/>
        <n v="12430.14" u="1"/>
        <n v="1580.46" u="1"/>
        <n v="950" u="1"/>
        <n v="66368.98" u="1"/>
        <n v="18910.45" u="1"/>
        <n v="7771.89" u="1"/>
        <n v="125002.68" u="1"/>
        <n v="32008.68" u="1"/>
        <n v="39176.18" u="1"/>
        <n v="7625.31" u="1"/>
        <n v="1790.61" u="1"/>
        <n v="1920" u="1"/>
        <n v="1790" u="1"/>
        <n v="689.7" u="1"/>
        <n v="23741.29" u="1"/>
        <n v="68242.55" u="1"/>
        <n v="3100" u="1"/>
        <n v="4086.57" u="1"/>
        <n v="3920.96" u="1"/>
        <n v="6800" u="1"/>
        <n v="5500" u="1"/>
        <n v="1234.2" u="1"/>
        <n v="2395" u="1"/>
        <n v="440.38" u="1"/>
        <n v="5092.2" u="1"/>
        <n v="13823" u="1"/>
        <n v="2525.37" u="1"/>
        <n v="28280.5" u="1"/>
        <n v="9600" u="1"/>
        <n v="1329.37" u="1"/>
        <n v="1150" u="1"/>
        <n v="8529.02" u="1"/>
        <n v="115300" u="1"/>
        <n v="32000" u="1"/>
        <n v="181722.75" u="1"/>
        <n v="535.62" u="1"/>
        <n v="3941.92" u="1"/>
        <n v="6215.07" u="1"/>
        <n v="3287.2" u="1"/>
        <n v="777.51" u="1"/>
        <n v="10714.2" u="1"/>
        <n v="848.72" u="1"/>
        <n v="71353.31" u="1"/>
        <n v="7100" u="1"/>
        <n v="32627.160000000003" u="1"/>
        <n v="5831.5" u="1"/>
        <n v="12528.62" u="1"/>
        <n v="4500" u="1"/>
        <n v="895" u="1"/>
        <n v="366264.71" u="1"/>
        <n v="79000" u="1"/>
        <n v="5352.22" u="1"/>
        <n v="210493.11" u="1"/>
        <n v="1850000" u="1"/>
        <n v="25100" u="1"/>
        <n v="2867.04" u="1"/>
        <n v="206.09" u="1"/>
        <n v="1420" u="1"/>
        <n v="14509.05" u="1"/>
        <n v="1160" u="1"/>
        <n v="15432.27" u="1"/>
        <n v="16179.55" u="1"/>
        <n v="2516.41" u="1"/>
        <n v="1894.87" u="1"/>
        <n v="60821.177294799993" u="1"/>
        <n v="652.45000000000005" u="1"/>
        <n v="482.68" u="1"/>
        <n v="23634.1" u="1"/>
        <n v="64838.34" u="1"/>
        <n v="64448.07" u="1"/>
        <n v="16826.560000000001" u="1"/>
        <n v="2767.57" u="1"/>
        <n v="1597.32" u="1"/>
        <n v="126179.27" u="1"/>
        <n v="1300" u="1"/>
        <n v="134936.26" u="1"/>
        <n v="3240.21" u="1"/>
        <n v="6987.84" u="1"/>
        <n v="14476.88" u="1"/>
        <n v="4195.45" u="1"/>
        <n v="13463.5" u="1"/>
        <n v="5125.2" u="1"/>
        <n v="2250" u="1"/>
        <n v="9439.0015310892013" u="1"/>
        <n v="950.95" u="1"/>
        <n v="16086.28" u="1"/>
        <n v="1584.6" u="1"/>
        <n v="12923.91" u="1"/>
        <n v="8978.57" u="1"/>
        <n v="77380" u="1"/>
        <n v="340.02" u="1"/>
        <n v="2678.65" u="1"/>
        <n v="3172" u="1"/>
        <n v="27500" u="1"/>
        <n v="563300.81999999995" u="1"/>
        <n v="1952.31" u="1"/>
        <n v="1245" u="1"/>
        <n v="8500.75" u="1"/>
        <n v="8422" u="1"/>
        <n v="8607.6" u="1"/>
      </sharedItems>
    </cacheField>
    <cacheField name="% FAT." numFmtId="9">
      <sharedItems/>
    </cacheField>
    <cacheField name="SALDO FAT." numFmtId="164">
      <sharedItems containsSemiMixedTypes="0" containsString="0" containsNumber="1" containsInteger="1" minValue="0" maxValue="0"/>
    </cacheField>
    <cacheField name="% ABERTO FAT." numFmtId="9">
      <sharedItems/>
    </cacheField>
    <cacheField name="INDICAÇÃO" numFmtId="0">
      <sharedItems containsNonDate="0" containsString="0" containsBlank="1"/>
    </cacheField>
    <cacheField name="COORDENADOR DO PROJETO" numFmtId="0">
      <sharedItems containsNonDate="0" containsString="0" containsBlank="1"/>
    </cacheField>
    <cacheField name="% EXECUTADO" numFmtId="9">
      <sharedItems containsNonDate="0" containsString="0" containsBlank="1"/>
    </cacheField>
    <cacheField name="FINAL MONT (DATA)" numFmtId="0">
      <sharedItems containsNonDate="0" containsString="0" containsBlank="1"/>
    </cacheField>
    <cacheField name="STATUS" numFmtId="166">
      <sharedItems containsNonDate="0" containsBlank="1" count="7">
        <m/>
        <s v="EM APROVAÇÃO" u="1"/>
        <s v="EM SEPARAÇÃO" u="1"/>
        <s v="ANDAMENTO" u="1"/>
        <s v="ENCERRADAS" u="1"/>
        <s v="EM ABERTO" u="1"/>
        <s v="CONCLUIDA" u="1"/>
      </sharedItems>
    </cacheField>
    <cacheField name="OBSERVAÇÕES" numFmtId="164">
      <sharedItems containsNonDate="0" containsString="0" containsBlank="1"/>
    </cacheField>
    <cacheField name="Nº NOTA FISCAL" numFmtId="0">
      <sharedItems containsMixedTypes="1" containsNumber="1" containsInteger="1" minValue="0" maxValue="282710" count="263">
        <s v="-"/>
        <n v="0" u="1"/>
        <n v="250" u="1"/>
        <n v="3" u="1"/>
        <n v="170" u="1"/>
        <n v="109" u="1"/>
        <n v="69" u="1"/>
        <n v="143" u="1"/>
        <n v="19654" u="1"/>
        <n v="24503" u="1"/>
        <n v="296" u="1"/>
        <n v="12899" u="1"/>
        <n v="18366" u="1"/>
        <n v="122" u="1"/>
        <n v="18605" u="1"/>
        <n v="53" u="1"/>
        <n v="33" u="1"/>
        <n v="295" u="1"/>
        <n v="222" u="1"/>
        <n v="95" u="1"/>
        <n v="13479" u="1"/>
        <n v="16647" u="1"/>
        <n v="282691" u="1"/>
        <n v="108" u="1"/>
        <n v="293" u="1"/>
        <n v="68" u="1"/>
        <n v="221" u="1"/>
        <n v="19" u="1"/>
        <n v="292" u="1"/>
        <n v="279989" u="1"/>
        <n v="194" u="1"/>
        <n v="81" u="1"/>
        <n v="167" u="1"/>
        <n v="18215" u="1"/>
        <n v="18454" u="1"/>
        <n v="18285" u="1"/>
        <n v="280085" u="1"/>
        <n v="281950" u="1"/>
        <n v="94" u="1"/>
        <n v="59" u="1"/>
        <n v="193" u="1"/>
        <n v="280833" u="1"/>
        <n v="166" u="1"/>
        <n v="289" u="1"/>
        <n v="21275" u="1"/>
        <n v="67" u="1"/>
        <n v="219" u="1"/>
        <n v="20395" u="1"/>
        <n v="139" u="1"/>
        <n v="288" u="1"/>
        <n v="192" u="1"/>
        <n v="120" u="1"/>
        <n v="80" u="1"/>
        <n v="245" u="1"/>
        <n v="281396" u="1"/>
        <n v="165" u="1"/>
        <n v="287" u="1"/>
        <n v="24166" u="1"/>
        <n v="218" u="1"/>
        <n v="138" u="1"/>
        <n v="25320" u="1"/>
        <n v="280465" u="1"/>
        <n v="93" u="1"/>
        <n v="286" u="1"/>
        <n v="191" u="1"/>
        <n v="244" u="1"/>
        <n v="16881" u="1"/>
        <n v="285" u="1"/>
        <n v="281400" u="1"/>
        <n v="45" u="1"/>
        <n v="137" u="1"/>
        <n v="190" u="1"/>
        <n v="119" u="1"/>
        <n v="243" u="1"/>
        <n v="282056" u="1"/>
        <n v="283" u="1"/>
        <n v="23164" u="1"/>
        <n v="279166" u="1"/>
        <n v="216" u="1"/>
        <n v="136" u="1"/>
        <n v="282710" u="1"/>
        <n v="281871" u="1"/>
        <n v="58" u="1"/>
        <n v="18385" u="1"/>
        <n v="189" u="1"/>
        <n v="18828" u="1"/>
        <n v="242" u="1"/>
        <n v="105" u="1"/>
        <n v="25443" u="1"/>
        <n v="16695" u="1"/>
        <n v="215" u="1"/>
        <n v="17272" u="1"/>
        <n v="135" u="1"/>
        <n v="10691" u="1"/>
        <n v="118" u="1"/>
        <n v="78" u="1"/>
        <n v="21311" u="1"/>
        <n v="282622" u="1"/>
        <n v="21008" u="1"/>
        <n v="21754" u="1"/>
        <n v="282530" u="1"/>
        <n v="214" u="1"/>
        <n v="134" u="1"/>
        <n v="278" u="1"/>
        <n v="187" u="1"/>
        <n v="25321" u="1"/>
        <n v="277" u="1"/>
        <n v="64" u="1"/>
        <n v="44" u="1"/>
        <n v="28" u="1"/>
        <n v="213" u="1"/>
        <n v="279643" u="1"/>
        <n v="133" u="1"/>
        <n v="20239" u="1"/>
        <n v="276" u="1"/>
        <n v="22308" u="1"/>
        <n v="66773" u="1"/>
        <n v="117" u="1"/>
        <n v="15007" u="1"/>
        <n v="159" u="1"/>
        <n v="275" u="1"/>
        <n v="212" u="1"/>
        <n v="132" u="1"/>
        <n v="90" u="1"/>
        <n v="57" u="1"/>
        <n v="274" u="1"/>
        <n v="185" u="1"/>
        <n v="20350" u="1"/>
        <n v="103" u="1"/>
        <n v="24185" u="1"/>
        <n v="16097" u="1"/>
        <n v="211" u="1"/>
        <n v="131" u="1"/>
        <n v="12877" u="1"/>
        <n v="184" u="1"/>
        <n v="116" u="1"/>
        <n v="76" u="1"/>
        <n v="237" u="1"/>
        <n v="271" u="1"/>
        <n v="210" u="1"/>
        <n v="18497" u="1"/>
        <n v="18870" u="1"/>
        <n v="22973" u="1"/>
        <n v="25584" u="1"/>
        <n v="130" u="1"/>
        <n v="270" u="1"/>
        <n v="21178" u="1"/>
        <n v="281054" u="1"/>
        <n v="236" u="1"/>
        <n v="102" u="1"/>
        <n v="269" u="1"/>
        <n v="43" u="1"/>
        <n v="16342" u="1"/>
        <n v="279284" u="1"/>
        <n v="279191" u="1"/>
        <n v="281056" u="1"/>
        <n v="1262" u="1"/>
        <n v="75" u="1"/>
        <n v="235" u="1"/>
        <n v="280592" u="1"/>
        <n v="208" u="1"/>
        <n v="19360" u="1"/>
        <n v="128" u="1"/>
        <n v="88" u="1"/>
        <n v="19599" u="1"/>
        <n v="36" u="1"/>
        <n v="266" u="1"/>
        <n v="24652" u="1"/>
        <n v="19500" u="1"/>
        <n v="154" u="1"/>
        <n v="101" u="1"/>
        <n v="15943" u="1"/>
        <n v="281343" u="1"/>
        <n v="180" u="1"/>
        <n v="114" u="1"/>
        <n v="74" u="1"/>
        <n v="49" u="1"/>
        <n v="153" u="1"/>
        <n v="263" u="1"/>
        <n v="179" u="1"/>
        <n v="18294" u="1"/>
        <n v="280509" u="1"/>
        <n v="152" u="1"/>
        <n v="261" u="1"/>
        <n v="19856" u="1"/>
        <n v="62" u="1"/>
        <n v="42" u="1"/>
        <n v="205" u="1"/>
        <n v="23079" u="1"/>
        <n v="260" u="1"/>
        <n v="281537" u="1"/>
        <n v="113" u="1"/>
        <n v="17962" u="1"/>
        <n v="73" u="1"/>
        <n v="279860" u="1"/>
        <n v="126" u="1"/>
        <n v="55" u="1"/>
        <n v="35" u="1"/>
        <n v="258" u="1"/>
        <n v="177" u="1"/>
        <n v="11887" u="1"/>
        <n v="23802" u="1"/>
        <n v="15346" u="1"/>
        <n v="280329" u="1"/>
        <n v="230" u="1"/>
        <n v="150" u="1"/>
        <n v="16025" u="1"/>
        <n v="99" u="1"/>
        <n v="20008" u="1"/>
        <n v="21739" u="1"/>
        <n v="14874" u="1"/>
        <n v="256" u="1"/>
        <n v="112" u="1"/>
        <n v="72" u="1"/>
        <n v="22590" u="1"/>
        <n v="229" u="1"/>
        <n v="149" u="1"/>
        <n v="125" u="1"/>
        <n v="85" u="1"/>
        <n v="280988" u="1"/>
        <n v="21681" u="1"/>
        <n v="282667" u="1"/>
        <n v="98" u="1"/>
        <n v="61" u="1"/>
        <n v="25889" u="1"/>
        <n v="41" u="1"/>
        <n v="254" u="1"/>
        <n v="15323" u="1"/>
        <n v="111" u="1"/>
        <n v="71" u="1"/>
        <n v="23080" u="1"/>
        <n v="147" u="1"/>
        <n v="282392" u="1"/>
        <n v="19997" u="1"/>
        <n v="124" u="1"/>
        <n v="84" u="1"/>
        <n v="34" u="1"/>
        <n v="23" u="1"/>
        <n v="173" u="1"/>
        <n v="16745" u="1"/>
        <n v="12750" u="1"/>
        <n v="226" u="1"/>
        <n v="280903" u="1"/>
        <n v="146" u="1"/>
        <n v="97" u="1"/>
        <n v="199" u="1"/>
        <n v="172" u="1"/>
        <n v="19059" u="1"/>
        <n v="70" u="1"/>
        <n v="47" u="1"/>
        <n v="23570" u="1"/>
        <n v="198" u="1"/>
        <n v="123" u="1"/>
        <n v="83" u="1"/>
        <n v="171" u="1"/>
        <n v="20219" u="1"/>
        <n v="282495" u="1"/>
        <n v="11436" u="1"/>
        <n v="144" u="1"/>
        <n v="60" u="1"/>
        <n v="298" u="1"/>
        <n v="26" u="1"/>
        <n v="282124" u="1"/>
      </sharedItems>
    </cacheField>
    <cacheField name="DATA FATURAMENTO" numFmtId="0">
      <sharedItems containsDate="1" containsMixedTypes="1" minDate="2017-10-11T00:00:00" maxDate="2022-04-21T00:00:00" count="195">
        <s v="-"/>
        <d v="2020-05-05T00:00:00" u="1"/>
        <d v="2021-05-05T00:00:00" u="1"/>
        <d v="2020-08-07T00:00:00" u="1"/>
        <d v="2021-04-20T00:00:00" u="1"/>
        <d v="2018-10-24T00:00:00" u="1"/>
        <d v="2022-04-20T00:00:00" u="1"/>
        <d v="2021-07-22T00:00:00" u="1"/>
        <d v="2019-11-05T00:00:00" u="1"/>
        <d v="2022-01-14T00:00:00" u="1"/>
        <d v="2019-07-18T00:00:00" u="1"/>
        <d v="2020-10-20T00:00:00" u="1"/>
        <d v="2019-11-01T00:00:00" u="1"/>
        <d v="2022-01-10T00:00:00" u="1"/>
        <d v="2020-07-14T00:00:00" u="1"/>
        <d v="2021-01-06T00:00:00" u="1"/>
        <d v="2021-06-29T00:00:00" u="1"/>
        <d v="2022-01-06T00:00:00" u="1"/>
        <d v="2018-06-25T00:00:00" u="1"/>
        <d v="2020-01-02T00:00:00" u="1"/>
        <d v="2020-06-25T00:00:00" u="1"/>
        <d v="2019-09-27T00:00:00" u="1"/>
        <d v="2020-07-06T00:00:00" u="1"/>
        <d v="2021-12-29T00:00:00" u="1"/>
        <d v="2020-10-08T00:00:00" u="1"/>
        <d v="2021-03-19T00:00:00" u="1"/>
        <d v="2020-07-02T00:00:00" u="1"/>
        <d v="2019-10-04T00:00:00" u="1"/>
        <d v="2021-07-02T00:00:00" u="1"/>
        <d v="2021-12-21T00:00:00" u="1"/>
        <d v="2019-08-30T00:00:00" u="1"/>
        <d v="2021-12-17T00:00:00" u="1"/>
        <d v="2021-05-24T00:00:00" u="1"/>
        <d v="2021-03-03T00:00:00" u="1"/>
        <d v="2021-02-18T00:00:00" u="1"/>
        <d v="2020-05-20T00:00:00" u="1"/>
        <d v="2021-05-20T00:00:00" u="1"/>
        <d v="2019-05-16T00:00:00" u="1"/>
        <d v="2020-09-03T00:00:00" u="1"/>
        <d v="2021-01-29T00:00:00" u="1"/>
        <d v="2020-02-10T00:00:00" u="1"/>
        <d v="2019-08-14T00:00:00" u="1"/>
        <d v="2021-05-12T00:00:00" u="1"/>
        <d v="2020-08-14T00:00:00" u="1"/>
        <d v="2021-01-25T00:00:00" u="1"/>
        <d v="2022-01-25T00:00:00" u="1"/>
        <d v="2019-02-06T00:00:00" u="1"/>
        <d v="2022-01-21T00:00:00" u="1"/>
        <d v="2021-02-02T00:00:00" u="1"/>
        <d v="2018-08-06T00:00:00" u="1"/>
        <d v="2019-01-17T00:00:00" u="1"/>
        <d v="2022-02-02T00:00:00" u="1"/>
        <d v="2020-08-06T00:00:00" u="1"/>
        <d v="2022-01-17T00:00:00" u="1"/>
        <d v="2019-08-02T00:00:00" u="1"/>
        <d v="2020-01-13T00:00:00" u="1"/>
        <d v="2022-01-13T00:00:00" u="1"/>
        <d v="2020-10-19T00:00:00" u="1"/>
        <d v="2020-01-09T00:00:00" u="1"/>
        <d v="2021-10-19T00:00:00" u="1"/>
        <d v="2020-04-07T00:00:00" u="1"/>
        <d v="2022-01-05T00:00:00" u="1"/>
        <d v="2017-10-11T00:00:00" u="1"/>
        <d v="2021-04-07T00:00:00" u="1"/>
        <d v="2020-07-09T00:00:00" u="1"/>
        <d v="2019-06-24T00:00:00" u="1"/>
        <d v="2020-06-24T00:00:00" u="1"/>
        <d v="2021-06-24T00:00:00" u="1"/>
        <d v="2018-12-28T00:00:00" u="1"/>
        <d v="2019-07-05T00:00:00" u="1"/>
        <d v="2021-12-28T00:00:00" u="1"/>
        <d v="2020-07-01T00:00:00" u="1"/>
        <d v="2019-09-18T00:00:00" u="1"/>
        <d v="2019-12-20T00:00:00" u="1"/>
        <d v="2021-03-10T00:00:00" u="1"/>
        <d v="2020-06-12T00:00:00" u="1"/>
        <d v="2019-05-27T00:00:00" u="1"/>
        <d v="2019-08-29T00:00:00" u="1"/>
        <d v="2017-12-12T00:00:00" u="1"/>
        <d v="2020-03-02T00:00:00" u="1"/>
        <d v="2019-11-27T00:00:00" u="1"/>
        <d v="2021-08-25T00:00:00" u="1"/>
        <d v="2020-05-19T00:00:00" u="1"/>
        <d v="2018-11-23T00:00:00" u="1"/>
        <d v="2019-02-13T00:00:00" u="1"/>
        <d v="2019-09-02T00:00:00" u="1"/>
        <d v="2021-11-23T00:00:00" u="1"/>
        <d v="2020-09-02T00:00:00" u="1"/>
        <d v="2019-12-04T00:00:00" u="1"/>
        <d v="2021-01-28T00:00:00" u="1"/>
        <d v="2020-11-19T00:00:00" u="1"/>
        <d v="2022-02-09T00:00:00" u="1"/>
        <d v="2019-08-13T00:00:00" u="1"/>
        <d v="2019-08-09T00:00:00" u="1"/>
        <d v="2020-01-20T00:00:00" u="1"/>
        <d v="2021-05-07T00:00:00" u="1"/>
        <d v="2021-01-20T00:00:00" u="1"/>
        <d v="2022-01-20T00:00:00" u="1"/>
        <d v="2021-11-11T00:00:00" u="1"/>
        <d v="2019-01-16T00:00:00" u="1"/>
        <d v="2022-02-01T00:00:00" u="1"/>
        <d v="2020-07-20T00:00:00" u="1"/>
        <d v="2019-10-22T00:00:00" u="1"/>
        <d v="2021-10-22T00:00:00" u="1"/>
        <d v="2020-11-03T00:00:00" u="1"/>
        <d v="2021-11-03T00:00:00" u="1"/>
        <d v="2021-10-18T00:00:00" u="1"/>
        <d v="2021-01-08T00:00:00" u="1"/>
        <d v="2020-10-14T00:00:00" u="1"/>
        <d v="2021-10-14T00:00:00" u="1"/>
        <d v="2021-04-06T00:00:00" u="1"/>
        <d v="2020-07-08T00:00:00" u="1"/>
        <d v="2021-07-08T00:00:00" u="1"/>
        <d v="2018-09-25T00:00:00" u="1"/>
        <d v="2020-09-25T00:00:00" u="1"/>
        <d v="2019-12-27T00:00:00" u="1"/>
        <d v="2020-10-06T00:00:00" u="1"/>
        <d v="2020-06-19T00:00:00" u="1"/>
        <d v="2021-10-06T00:00:00" u="1"/>
        <d v="2019-12-23T00:00:00" u="1"/>
        <d v="2021-09-21T00:00:00" u="1"/>
        <d v="2021-12-23T00:00:00" u="1"/>
        <d v="2020-06-15T00:00:00" u="1"/>
        <d v="2020-02-28T00:00:00" u="1"/>
        <d v="2021-06-15T00:00:00" u="1"/>
        <d v="2020-09-17T00:00:00" u="1"/>
        <d v="2021-09-17T00:00:00" u="1"/>
        <d v="2021-03-09T00:00:00" u="1"/>
        <d v="2022-03-09T00:00:00" u="1"/>
        <d v="2019-09-13T00:00:00" u="1"/>
        <d v="2021-03-05T00:00:00" u="1"/>
        <d v="2020-08-24T00:00:00" u="1"/>
        <d v="2020-01-31T00:00:00" u="1"/>
        <d v="2021-12-07T00:00:00" u="1"/>
        <d v="2022-01-31T00:00:00" u="1"/>
        <d v="2020-02-12T00:00:00" u="1"/>
        <d v="2021-11-22T00:00:00" u="1"/>
        <d v="2019-12-03T00:00:00" u="1"/>
        <d v="2020-12-03T00:00:00" u="1"/>
        <d v="2020-11-18T00:00:00" u="1"/>
        <d v="2019-05-10T00:00:00" u="1"/>
        <d v="2022-02-08T00:00:00" u="1"/>
        <d v="2019-08-12T00:00:00" u="1"/>
        <d v="2018-11-14T00:00:00" u="1"/>
        <d v="2019-05-06T00:00:00" u="1"/>
        <d v="2021-07-27T00:00:00" u="1"/>
        <d v="2022-02-04T00:00:00" u="1"/>
        <d v="2021-10-29T00:00:00" u="1"/>
        <d v="2022-01-19T00:00:00" u="1"/>
        <d v="2019-11-06T00:00:00" u="1"/>
        <d v="2020-11-06T00:00:00" u="1"/>
        <d v="2022-01-11T00:00:00" u="1"/>
        <d v="2021-04-13T00:00:00" u="1"/>
        <d v="2020-01-07T00:00:00" u="1"/>
        <d v="2022-01-07T00:00:00" u="1"/>
        <d v="2019-07-11T00:00:00" u="1"/>
        <d v="2021-04-09T00:00:00" u="1"/>
        <d v="2021-03-24T00:00:00" u="1"/>
        <d v="2022-03-24T00:00:00" u="1"/>
        <d v="2022-01-03T00:00:00" u="1"/>
        <d v="2020-12-30T00:00:00" u="1"/>
        <d v="2020-03-20T00:00:00" u="1"/>
        <d v="2018-09-24T00:00:00" u="1"/>
        <d v="2020-04-01T00:00:00" u="1"/>
        <d v="2022-04-01T00:00:00" u="1"/>
        <d v="2020-03-16T00:00:00" u="1"/>
        <d v="2020-06-18T00:00:00" u="1"/>
        <d v="2021-09-20T00:00:00" u="1"/>
        <d v="2021-12-22T00:00:00" u="1"/>
        <d v="2019-06-14T00:00:00" u="1"/>
        <d v="2020-10-01T00:00:00" u="1"/>
        <d v="2021-06-14T00:00:00" u="1"/>
        <d v="2019-03-08T00:00:00" u="1"/>
        <d v="2021-03-08T00:00:00" u="1"/>
        <d v="2020-12-14T00:00:00" u="1"/>
        <d v="2018-05-21T00:00:00" u="1"/>
        <d v="2020-05-21T00:00:00" u="1"/>
        <d v="2020-12-10T00:00:00" u="1"/>
        <d v="2019-05-17T00:00:00" u="1"/>
        <d v="2020-09-04T00:00:00" u="1"/>
        <d v="2022-02-15T00:00:00" u="1"/>
        <d v="2020-01-30T00:00:00" u="1"/>
        <d v="2021-12-06T00:00:00" u="1"/>
        <d v="2021-08-19T00:00:00" u="1"/>
        <d v="2021-02-11T00:00:00" u="1"/>
        <d v="2022-02-11T00:00:00" u="1"/>
        <d v="2020-12-02T00:00:00" u="1"/>
        <d v="2020-04-28T00:00:00" u="1"/>
        <d v="2022-01-26T00:00:00" u="1"/>
        <d v="2022-02-07T00:00:00" u="1"/>
        <d v="2020-08-11T00:00:00" u="1"/>
        <d v="2021-01-22T00:00:00" u="1"/>
        <d v="2019-11-13T00:00:00" u="1"/>
        <d v="2021-08-11T00:00:00" u="1"/>
        <d v="2020-02-03T00:00:00" u="1"/>
      </sharedItems>
    </cacheField>
    <cacheField name="VALOR FATURADO" numFmtId="166">
      <sharedItems containsSemiMixedTypes="0" containsString="0" containsNumber="1" containsInteger="1" minValue="0" maxValue="0"/>
    </cacheField>
    <cacheField name="CUSTO MATERIAL SISTEMA" numFmtId="166">
      <sharedItems containsNonDate="0" containsString="0" containsBlank="1"/>
    </cacheField>
    <cacheField name="CUSTO MATERIAL COMPRAS" numFmtId="166">
      <sharedItems containsSemiMixedTypes="0" containsString="0" containsNumber="1" containsInteger="1" minValue="0" maxValue="0"/>
    </cacheField>
    <cacheField name="CUSTO MÃO DE OBRA UTILIZADO NORMAL" numFmtId="166">
      <sharedItems containsSemiMixedTypes="0" containsString="0" containsNumber="1" containsInteger="1" minValue="0" maxValue="0"/>
    </cacheField>
    <cacheField name="CUSTO MÃO DE OBRA UTILIZADO EXTRA" numFmtId="166">
      <sharedItems containsSemiMixedTypes="0" containsString="0" containsNumber="1" containsInteger="1" minValue="0" maxValue="0"/>
    </cacheField>
    <cacheField name="TOTAL HORAS NORMAIS" numFmtId="165">
      <sharedItems containsSemiMixedTypes="0" containsNonDate="0" containsDate="1" containsString="0" minDate="1899-12-30T00:00:00" maxDate="1899-12-31T00:00:00"/>
    </cacheField>
    <cacheField name="TOTAL HORAS EXTRAS" numFmtId="165">
      <sharedItems containsSemiMixedTypes="0" containsNonDate="0" containsDate="1" containsString="0" minDate="1899-12-30T00:00:00" maxDate="1899-12-31T00:00:00"/>
    </cacheField>
    <cacheField name="DESPESAS COM FUNCIONARIOS" numFmtId="166">
      <sharedItems containsSemiMixedTypes="0" containsString="0" containsNumber="1" containsInteger="1" minValue="0" maxValue="0"/>
    </cacheField>
    <cacheField name="DESPESA COM DESLOCAMENTO" numFmtId="166">
      <sharedItems containsSemiMixedTypes="0" containsString="0" containsNumber="1" containsInteger="1" minValue="0" maxValue="0"/>
    </cacheField>
    <cacheField name="TOTAL PARCIAL (M.O+MT+DESP)" numFmtId="166">
      <sharedItems containsSemiMixedTypes="0" containsString="0" containsNumber="1" containsInteger="1" minValue="0" maxValue="0"/>
    </cacheField>
    <cacheField name="TOTAL PARCIAL + OUTROS CUSTOS (8%)" numFmtId="166">
      <sharedItems containsSemiMixedTypes="0" containsString="0" containsNumber="1" containsInteger="1" minValue="0" maxValue="0"/>
    </cacheField>
    <cacheField name="TOTAL CUSTO (O.C + DI + MT + MO+DESP)" numFmtId="166">
      <sharedItems containsSemiMixedTypes="0" containsString="0" containsNumber="1" containsInteger="1" minValue="0" maxValue="0"/>
    </cacheField>
    <cacheField name="MÊS FAT." numFmtId="0">
      <sharedItems count="13">
        <s v="-"/>
        <s v="JANEIRO" u="1"/>
        <s v="ABRIL" u="1"/>
        <s v="JULHO" u="1"/>
        <s v="DEZEMBRO" u="1"/>
        <s v="OUTUBRO" u="1"/>
        <s v="JUNHO" u="1"/>
        <s v="SETEMBRO" u="1"/>
        <s v="MAIO" u="1"/>
        <s v="NOVEMBRO" u="1"/>
        <s v="AGOSTO" u="1"/>
        <s v="MARÇO" u="1"/>
        <s v="FEVEREIRO" u="1"/>
      </sharedItems>
    </cacheField>
    <cacheField name="R$ (CONTRATO - CUSTOS)" numFmtId="166">
      <sharedItems containsSemiMixedTypes="0" containsString="0" containsNumber="1" containsInteger="1" minValue="0" maxValue="0"/>
    </cacheField>
    <cacheField name="% (CONTRATO - CUSTOS)" numFmtId="9">
      <sharedItems/>
    </cacheField>
    <cacheField name="ANALISE (CONTRATO - FAT)" numFmtId="166">
      <sharedItems containsSemiMixedTypes="0" containsString="0" containsNumber="1" containsInteger="1" minValue="0" maxValue="0"/>
    </cacheField>
    <cacheField name="MÊS DA O.C" numFmtId="166">
      <sharedItems/>
    </cacheField>
    <cacheField name="ANO FINAL." numFmtId="166">
      <sharedItems count="11">
        <s v=""/>
        <s v="2015" u="1"/>
        <s v="21-1" u="1"/>
        <s v="2019" u="1"/>
        <s v="2021" u="1"/>
        <s v="2018" u="1"/>
        <s v="2020" u="1"/>
        <s v="2017" u="1"/>
        <s v="MLM" u="1"/>
        <s v="2016" u="1"/>
        <s v="2022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  <r>
    <x v="0"/>
    <x v="0"/>
    <x v="0"/>
    <x v="0"/>
    <x v="0"/>
    <x v="0"/>
    <m/>
    <x v="0"/>
    <m/>
    <x v="0"/>
    <n v="19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m/>
    <x v="0"/>
    <m/>
    <m/>
    <m/>
    <m/>
    <s v=""/>
    <s v=""/>
    <m/>
    <d v="1899-12-30T00:00:00"/>
    <d v="1899-12-30T00:00:00"/>
    <e v="#N/A"/>
    <e v="#N/A"/>
    <e v="#N/A"/>
    <e v="#N/A"/>
    <s v="0"/>
    <s v="0"/>
    <s v="0"/>
    <s v="0"/>
    <s v="0"/>
    <n v="0"/>
    <n v="0"/>
    <x v="0"/>
  </r>
  <r>
    <x v="0"/>
    <x v="0"/>
    <x v="0"/>
    <m/>
    <x v="0"/>
    <m/>
    <m/>
    <m/>
    <m/>
    <s v=""/>
    <s v=""/>
    <m/>
    <d v="1899-12-30T00:00:00"/>
    <d v="1899-12-30T00:00:00"/>
    <e v="#N/A"/>
    <e v="#N/A"/>
    <e v="#N/A"/>
    <e v="#N/A"/>
    <s v="0"/>
    <s v="0"/>
    <s v="0"/>
    <s v="0"/>
    <s v="0"/>
    <n v="0"/>
    <n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x v="0"/>
    <x v="0"/>
    <x v="0"/>
    <x v="0"/>
    <x v="0"/>
    <x v="0"/>
    <x v="0"/>
    <x v="0"/>
    <x v="0"/>
    <n v="1900"/>
  </r>
  <r>
    <x v="0"/>
    <x v="0"/>
    <x v="0"/>
    <x v="0"/>
    <x v="0"/>
    <x v="0"/>
    <x v="0"/>
    <x v="0"/>
    <x v="0"/>
    <x v="0"/>
    <x v="0"/>
    <n v="1900"/>
  </r>
  <r>
    <x v="0"/>
    <x v="0"/>
    <x v="0"/>
    <x v="0"/>
    <x v="0"/>
    <x v="0"/>
    <x v="0"/>
    <x v="0"/>
    <x v="0"/>
    <x v="0"/>
    <x v="0"/>
    <n v="19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  <x v="0"/>
    <m/>
    <x v="0"/>
    <x v="0"/>
    <x v="0"/>
    <x v="0"/>
    <n v="1900"/>
  </r>
  <r>
    <x v="0"/>
    <x v="0"/>
    <x v="0"/>
    <x v="0"/>
    <x v="0"/>
    <x v="0"/>
    <m/>
    <x v="0"/>
    <x v="0"/>
    <x v="0"/>
    <x v="0"/>
    <n v="1900"/>
  </r>
  <r>
    <x v="0"/>
    <x v="0"/>
    <x v="0"/>
    <x v="0"/>
    <x v="0"/>
    <x v="0"/>
    <m/>
    <x v="0"/>
    <x v="0"/>
    <x v="0"/>
    <x v="0"/>
    <n v="1900"/>
  </r>
  <r>
    <x v="0"/>
    <x v="0"/>
    <x v="0"/>
    <x v="0"/>
    <x v="0"/>
    <x v="0"/>
    <m/>
    <x v="0"/>
    <x v="0"/>
    <x v="0"/>
    <x v="0"/>
    <n v="1900"/>
  </r>
  <r>
    <x v="0"/>
    <x v="0"/>
    <x v="0"/>
    <x v="0"/>
    <x v="0"/>
    <x v="0"/>
    <m/>
    <x v="0"/>
    <x v="0"/>
    <x v="0"/>
    <x v="0"/>
    <n v="19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s v="NORMAL"/>
    <x v="0"/>
    <d v="1905-03-14T00:00:00"/>
  </r>
  <r>
    <x v="0"/>
    <x v="0"/>
    <x v="0"/>
    <x v="0"/>
    <x v="0"/>
    <x v="0"/>
    <x v="0"/>
    <x v="0"/>
    <x v="0"/>
    <x v="0"/>
    <s v="NORMAL"/>
    <x v="0"/>
    <d v="1905-03-14T00:00:00"/>
  </r>
  <r>
    <x v="0"/>
    <x v="0"/>
    <x v="0"/>
    <x v="0"/>
    <x v="0"/>
    <x v="0"/>
    <x v="0"/>
    <x v="0"/>
    <x v="0"/>
    <x v="0"/>
    <s v="NORMAL"/>
    <x v="0"/>
    <d v="1905-03-14T00:00:00"/>
  </r>
  <r>
    <x v="0"/>
    <x v="0"/>
    <x v="0"/>
    <x v="0"/>
    <x v="0"/>
    <x v="0"/>
    <x v="0"/>
    <x v="0"/>
    <x v="0"/>
    <x v="0"/>
    <s v="NORMAL"/>
    <x v="0"/>
    <d v="1905-03-14T00:00:00"/>
  </r>
  <r>
    <x v="0"/>
    <x v="0"/>
    <x v="0"/>
    <x v="0"/>
    <x v="0"/>
    <x v="0"/>
    <x v="0"/>
    <x v="0"/>
    <x v="0"/>
    <x v="0"/>
    <s v="NORMAL"/>
    <x v="0"/>
    <d v="1905-03-14T00:00:00"/>
  </r>
  <r>
    <x v="0"/>
    <x v="0"/>
    <x v="0"/>
    <x v="0"/>
    <x v="0"/>
    <x v="0"/>
    <x v="0"/>
    <x v="0"/>
    <x v="0"/>
    <x v="0"/>
    <s v="NORMAL"/>
    <x v="0"/>
    <d v="1905-03-14T00:00: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  <x v="0"/>
    <m/>
    <x v="0"/>
    <e v="#N/A"/>
    <x v="0"/>
    <x v="0"/>
    <x v="0"/>
    <x v="0"/>
  </r>
  <r>
    <x v="0"/>
    <x v="0"/>
    <x v="0"/>
    <x v="0"/>
    <x v="0"/>
    <x v="0"/>
    <m/>
    <x v="0"/>
    <e v="#N/A"/>
    <x v="0"/>
    <x v="0"/>
    <x v="0"/>
    <x v="0"/>
  </r>
  <r>
    <x v="0"/>
    <x v="0"/>
    <x v="0"/>
    <x v="0"/>
    <x v="0"/>
    <x v="0"/>
    <m/>
    <x v="0"/>
    <e v="#N/A"/>
    <x v="0"/>
    <x v="0"/>
    <x v="0"/>
    <x v="0"/>
  </r>
  <r>
    <x v="0"/>
    <x v="0"/>
    <x v="0"/>
    <x v="0"/>
    <x v="0"/>
    <x v="0"/>
    <m/>
    <x v="0"/>
    <e v="#N/A"/>
    <x v="0"/>
    <x v="0"/>
    <x v="0"/>
    <x v="0"/>
  </r>
  <r>
    <x v="0"/>
    <x v="0"/>
    <x v="0"/>
    <x v="0"/>
    <x v="0"/>
    <x v="0"/>
    <m/>
    <x v="0"/>
    <e v="#N/A"/>
    <x v="0"/>
    <x v="0"/>
    <x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  <r>
    <x v="0"/>
    <m/>
    <m/>
    <x v="0"/>
    <x v="0"/>
    <x v="0"/>
    <m/>
    <x v="0"/>
    <x v="0"/>
    <x v="0"/>
    <e v="#DIV/0!"/>
    <n v="0"/>
    <e v="#DIV/0!"/>
    <m/>
    <m/>
    <m/>
    <m/>
    <x v="0"/>
    <m/>
    <x v="0"/>
    <x v="0"/>
    <n v="0"/>
    <m/>
    <n v="0"/>
    <n v="0"/>
    <n v="0"/>
    <d v="1899-12-30T00:00:00"/>
    <d v="1899-12-30T00:00:00"/>
    <n v="0"/>
    <n v="0"/>
    <n v="0"/>
    <n v="0"/>
    <n v="0"/>
    <x v="0"/>
    <n v="0"/>
    <s v=""/>
    <n v="0"/>
    <s v="-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DIN_OP" cacheId="21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10:O11" firstHeaderRow="0" firstDataRow="1" firstDataCol="8" rowPageCount="1" colPageCount="1"/>
  <pivotFields count="39">
    <pivotField axis="axisRow" compact="0" outline="0" showAll="0" defaultSubtotal="0">
      <items count="95">
        <item m="1" x="39"/>
        <item m="1" x="15"/>
        <item m="1" x="32"/>
        <item m="1" x="9"/>
        <item m="1" x="57"/>
        <item m="1" x="54"/>
        <item m="1" x="28"/>
        <item m="1" x="79"/>
        <item m="1" x="50"/>
        <item m="1" x="73"/>
        <item m="1" x="69"/>
        <item m="1" x="7"/>
        <item m="1" x="74"/>
        <item m="1" x="41"/>
        <item m="1" x="48"/>
        <item m="1" x="5"/>
        <item m="1" x="84"/>
        <item m="1" x="64"/>
        <item m="1" x="3"/>
        <item m="1" x="70"/>
        <item m="1" x="37"/>
        <item m="1" x="11"/>
        <item m="1" x="77"/>
        <item m="1" x="16"/>
        <item m="1" x="82"/>
        <item m="1" x="51"/>
        <item m="1" x="20"/>
        <item m="1" x="87"/>
        <item m="1" x="58"/>
        <item m="1" x="25"/>
        <item m="1" x="91"/>
        <item m="1" x="62"/>
        <item m="1" x="30"/>
        <item m="1" x="1"/>
        <item m="1" x="67"/>
        <item m="1" x="35"/>
        <item m="1" x="8"/>
        <item m="1" x="75"/>
        <item m="1" x="42"/>
        <item m="1" x="14"/>
        <item m="1" x="81"/>
        <item m="1" x="49"/>
        <item m="1" x="19"/>
        <item m="1" x="86"/>
        <item m="1" x="56"/>
        <item m="1" x="23"/>
        <item m="1" x="90"/>
        <item m="1" x="61"/>
        <item m="1" x="29"/>
        <item m="1" x="94"/>
        <item m="1" x="66"/>
        <item m="1" x="34"/>
        <item m="1" x="6"/>
        <item m="1" x="72"/>
        <item m="1" x="40"/>
        <item m="1" x="13"/>
        <item m="1" x="80"/>
        <item m="1" x="47"/>
        <item m="1" x="18"/>
        <item m="1" x="85"/>
        <item m="1" x="53"/>
        <item m="1" x="22"/>
        <item m="1" x="89"/>
        <item m="1" x="60"/>
        <item m="1" x="27"/>
        <item m="1" x="93"/>
        <item m="1" x="65"/>
        <item m="1" x="33"/>
        <item m="1" x="4"/>
        <item m="1" x="71"/>
        <item m="1" x="38"/>
        <item m="1" x="12"/>
        <item m="1" x="78"/>
        <item m="1" x="46"/>
        <item m="1" x="17"/>
        <item m="1" x="83"/>
        <item m="1" x="52"/>
        <item m="1" x="21"/>
        <item m="1" x="88"/>
        <item m="1" x="59"/>
        <item m="1" x="26"/>
        <item m="1" x="92"/>
        <item m="1" x="63"/>
        <item m="1" x="31"/>
        <item m="1" x="2"/>
        <item m="1" x="68"/>
        <item m="1" x="36"/>
        <item m="1" x="10"/>
        <item m="1" x="76"/>
        <item m="1" x="43"/>
        <item m="1" x="45"/>
        <item m="1" x="44"/>
        <item m="1" x="24"/>
        <item m="1" x="5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2">
        <item h="1" m="1" x="42"/>
        <item h="1" m="1" x="61"/>
        <item h="1" m="1" x="25"/>
        <item h="1" m="1" x="84"/>
        <item h="1" m="1" x="56"/>
        <item h="1" m="1" x="95"/>
        <item h="1" m="1" x="26"/>
        <item h="1" m="1" x="45"/>
        <item h="1" m="1" x="31"/>
        <item h="1" m="1" x="20"/>
        <item h="1" m="1" x="75"/>
        <item h="1" m="1" x="70"/>
        <item h="1" m="1" x="16"/>
        <item h="1" m="1" x="23"/>
        <item h="1" m="1" x="71"/>
        <item h="1" m="1" x="51"/>
        <item h="1" m="1" x="57"/>
        <item h="1" m="1" x="5"/>
        <item h="1" m="1" x="54"/>
        <item h="1" m="1" x="41"/>
        <item h="1" m="1" x="21"/>
        <item h="1" m="1" x="94"/>
        <item h="1" m="1" x="79"/>
        <item h="1" m="1" x="15"/>
        <item h="1" m="1" x="78"/>
        <item h="1" m="1" x="80"/>
        <item h="1" m="1" x="60"/>
        <item h="1" m="1" x="108"/>
        <item h="1" m="1" x="92"/>
        <item h="1" m="1" x="17"/>
        <item h="1" m="1" x="19"/>
        <item h="1" m="1" x="106"/>
        <item h="1" m="1" x="107"/>
        <item h="1" m="1" x="85"/>
        <item h="1" m="1" x="100"/>
        <item h="1" m="1" x="62"/>
        <item h="1" m="1" x="7"/>
        <item h="1" m="1" x="111"/>
        <item h="1" m="1" x="99"/>
        <item h="1" m="1" x="90"/>
        <item h="1" m="1" x="68"/>
        <item h="1" m="1" x="11"/>
        <item h="1" m="1" x="29"/>
        <item h="1" m="1" x="58"/>
        <item h="1" m="1" x="86"/>
        <item h="1" m="1" x="81"/>
        <item m="1" x="1"/>
        <item h="1" m="1" x="89"/>
        <item h="1" m="1" x="77"/>
        <item h="1" m="1" x="10"/>
        <item h="1" m="1" x="35"/>
        <item h="1" m="1" x="27"/>
        <item h="1" m="1" x="39"/>
        <item h="1" m="1" x="104"/>
        <item h="1" m="1" x="53"/>
        <item h="1" m="1" x="34"/>
        <item h="1" m="1" x="8"/>
        <item h="1" m="1" x="72"/>
        <item h="1" m="1" x="103"/>
        <item h="1" m="1" x="69"/>
        <item h="1" m="1" x="36"/>
        <item h="1" m="1" x="87"/>
        <item h="1" m="1" x="67"/>
        <item h="1" m="1" x="44"/>
        <item h="1" m="1" x="82"/>
        <item h="1" m="1" x="13"/>
        <item h="1" m="1" x="101"/>
        <item h="1" m="1" x="88"/>
        <item h="1" m="1" x="12"/>
        <item h="1" m="1" x="6"/>
        <item h="1" m="1" x="74"/>
        <item h="1" m="1" x="105"/>
        <item h="1" m="1" x="43"/>
        <item h="1" m="1" x="50"/>
        <item h="1" m="1" x="47"/>
        <item h="1" m="1" x="91"/>
        <item h="1" m="1" x="102"/>
        <item h="1" m="1" x="63"/>
        <item h="1" m="1" x="83"/>
        <item h="1" m="1" x="98"/>
        <item h="1" m="1" x="97"/>
        <item h="1" m="1" x="9"/>
        <item h="1" m="1" x="32"/>
        <item h="1" m="1" x="28"/>
        <item h="1" m="1" x="48"/>
        <item h="1" m="1" x="3"/>
        <item h="1" m="1" x="4"/>
        <item h="1" m="1" x="64"/>
        <item h="1" m="1" x="49"/>
        <item h="1" m="1" x="96"/>
        <item h="1" m="1" x="33"/>
        <item h="1" m="1" x="30"/>
        <item h="1" m="1" x="40"/>
        <item h="1" m="1" x="76"/>
        <item h="1" m="1" x="65"/>
        <item h="1" m="1" x="22"/>
        <item h="1" m="1" x="66"/>
        <item h="1" m="1" x="73"/>
        <item h="1" m="1" x="55"/>
        <item h="1" m="1" x="37"/>
        <item h="1" m="1" x="46"/>
        <item h="1" m="1" x="52"/>
        <item h="1" m="1" x="2"/>
        <item h="1" m="1" x="18"/>
        <item h="1" m="1" x="109"/>
        <item h="1" m="1" x="93"/>
        <item h="1" m="1" x="110"/>
        <item h="1" m="1" x="14"/>
        <item h="1" m="1" x="59"/>
        <item h="1" m="1" x="38"/>
        <item h="1" m="1" x="2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4">
        <item m="1" x="214"/>
        <item m="1" x="291"/>
        <item m="1" x="301"/>
        <item m="1" x="161"/>
        <item m="1" x="292"/>
        <item m="1" x="211"/>
        <item m="1" x="180"/>
        <item m="1" x="220"/>
        <item m="1" x="199"/>
        <item m="1" x="255"/>
        <item m="1" x="106"/>
        <item m="1" x="210"/>
        <item m="1" x="22"/>
        <item m="1" x="254"/>
        <item m="1" x="93"/>
        <item m="1" x="249"/>
        <item m="1" x="45"/>
        <item m="1" x="135"/>
        <item m="1" x="158"/>
        <item m="1" x="41"/>
        <item m="1" x="229"/>
        <item m="1" x="80"/>
        <item m="1" x="230"/>
        <item m="1" x="107"/>
        <item m="1" x="103"/>
        <item m="1" x="140"/>
        <item m="1" x="182"/>
        <item m="1" x="157"/>
        <item m="1" x="295"/>
        <item m="1" x="197"/>
        <item m="1" x="61"/>
        <item m="1" x="4"/>
        <item m="1" x="213"/>
        <item m="1" x="264"/>
        <item m="1" x="259"/>
        <item m="1" x="133"/>
        <item m="1" x="217"/>
        <item m="1" x="225"/>
        <item m="1" x="238"/>
        <item m="1" x="198"/>
        <item m="1" x="315"/>
        <item m="1" x="308"/>
        <item m="1" x="267"/>
        <item m="1" x="67"/>
        <item m="1" x="149"/>
        <item m="1" x="176"/>
        <item m="1" x="69"/>
        <item m="1" x="175"/>
        <item m="1" x="142"/>
        <item m="1" x="212"/>
        <item m="1" x="116"/>
        <item m="1" x="269"/>
        <item m="1" x="113"/>
        <item m="1" x="268"/>
        <item m="1" x="271"/>
        <item m="1" x="34"/>
        <item m="1" x="309"/>
        <item m="1" x="37"/>
        <item m="1" x="68"/>
        <item m="1" x="290"/>
        <item m="1" x="278"/>
        <item m="1" x="184"/>
        <item m="1" x="303"/>
        <item m="1" x="219"/>
        <item m="1" x="42"/>
        <item m="1" x="155"/>
        <item m="1" x="12"/>
        <item m="1" x="13"/>
        <item m="1" x="127"/>
        <item m="1" x="76"/>
        <item m="1" x="21"/>
        <item m="1" x="122"/>
        <item m="1" x="228"/>
        <item m="1" x="65"/>
        <item m="1" x="131"/>
        <item m="1" x="244"/>
        <item m="1" x="167"/>
        <item m="1" x="143"/>
        <item m="1" x="144"/>
        <item m="1" x="145"/>
        <item m="1" x="146"/>
        <item m="1" x="147"/>
        <item m="1" x="86"/>
        <item m="1" x="168"/>
        <item m="1" x="7"/>
        <item m="1" x="208"/>
        <item m="1" x="73"/>
        <item m="1" x="57"/>
        <item m="1" x="163"/>
        <item m="1" x="202"/>
        <item m="1" x="46"/>
        <item m="1" x="77"/>
        <item m="1" x="235"/>
        <item m="1" x="129"/>
        <item m="1" x="104"/>
        <item m="1" x="270"/>
        <item m="1" x="2"/>
        <item m="1" x="322"/>
        <item m="1" x="91"/>
        <item m="1" x="153"/>
        <item m="1" x="121"/>
        <item m="1" x="251"/>
        <item m="1" x="40"/>
        <item m="1" x="27"/>
        <item m="1" x="183"/>
        <item m="1" x="59"/>
        <item m="1" x="298"/>
        <item m="1" x="190"/>
        <item m="1" x="281"/>
        <item m="1" x="193"/>
        <item m="1" x="222"/>
        <item m="1" x="50"/>
        <item m="1" x="236"/>
        <item m="1" x="234"/>
        <item m="1" x="243"/>
        <item m="1" x="120"/>
        <item m="1" x="312"/>
        <item m="1" x="275"/>
        <item m="1" x="97"/>
        <item m="1" x="215"/>
        <item m="1" x="102"/>
        <item m="1" x="78"/>
        <item m="1" x="314"/>
        <item m="1" x="14"/>
        <item m="1" x="245"/>
        <item m="1" x="181"/>
        <item m="1" x="15"/>
        <item m="1" x="26"/>
        <item m="1" x="51"/>
        <item m="1" x="3"/>
        <item m="1" x="242"/>
        <item m="1" x="206"/>
        <item m="1" x="316"/>
        <item m="1" x="171"/>
        <item m="1" x="311"/>
        <item m="1" x="226"/>
        <item m="1" x="283"/>
        <item m="1" x="31"/>
        <item m="1" x="112"/>
        <item m="1" x="79"/>
        <item m="1" x="293"/>
        <item m="1" x="266"/>
        <item m="1" x="188"/>
        <item m="1" x="128"/>
        <item m="1" x="138"/>
        <item m="1" x="253"/>
        <item m="1" x="170"/>
        <item m="1" x="247"/>
        <item m="1" x="16"/>
        <item m="1" x="231"/>
        <item m="1" x="323"/>
        <item m="1" x="166"/>
        <item m="1" x="101"/>
        <item m="1" x="29"/>
        <item m="1" x="56"/>
        <item m="1" x="118"/>
        <item m="1" x="257"/>
        <item m="1" x="200"/>
        <item m="1" x="123"/>
        <item m="1" x="306"/>
        <item m="1" x="88"/>
        <item m="1" x="82"/>
        <item m="1" x="75"/>
        <item m="1" x="53"/>
        <item m="1" x="177"/>
        <item m="1" x="186"/>
        <item m="1" x="20"/>
        <item m="1" x="276"/>
        <item m="1" x="115"/>
        <item m="1" x="95"/>
        <item m="1" x="114"/>
        <item m="1" x="205"/>
        <item m="1" x="152"/>
        <item m="1" x="252"/>
        <item m="1" x="10"/>
        <item m="1" x="156"/>
        <item m="1" x="33"/>
        <item m="1" x="83"/>
        <item m="1" x="280"/>
        <item m="1" x="24"/>
        <item m="1" x="23"/>
        <item m="1" x="81"/>
        <item m="1" x="162"/>
        <item m="1" x="191"/>
        <item m="1" x="237"/>
        <item m="1" x="261"/>
        <item m="1" x="320"/>
        <item m="1" x="286"/>
        <item m="1" x="9"/>
        <item m="1" x="224"/>
        <item m="1" x="151"/>
        <item m="1" x="279"/>
        <item m="1" x="52"/>
        <item m="1" x="1"/>
        <item m="1" x="63"/>
        <item m="1" x="272"/>
        <item m="1" x="19"/>
        <item m="1" x="203"/>
        <item m="1" x="223"/>
        <item m="1" x="60"/>
        <item m="1" x="124"/>
        <item m="1" x="159"/>
        <item m="1" x="189"/>
        <item m="1" x="90"/>
        <item m="1" x="256"/>
        <item m="1" x="154"/>
        <item m="1" x="55"/>
        <item m="1" x="150"/>
        <item m="1" x="94"/>
        <item m="1" x="227"/>
        <item m="1" x="274"/>
        <item m="1" x="169"/>
        <item m="1" x="307"/>
        <item m="1" x="125"/>
        <item m="1" x="48"/>
        <item m="1" x="302"/>
        <item m="1" x="305"/>
        <item m="1" x="246"/>
        <item m="1" x="49"/>
        <item m="1" x="87"/>
        <item m="1" x="6"/>
        <item m="1" x="241"/>
        <item m="1" x="317"/>
        <item m="1" x="179"/>
        <item m="1" x="74"/>
        <item m="1" x="187"/>
        <item m="1" x="54"/>
        <item m="1" x="30"/>
        <item m="1" x="92"/>
        <item m="1" x="71"/>
        <item m="1" x="66"/>
        <item m="1" x="232"/>
        <item m="1" x="98"/>
        <item m="1" x="110"/>
        <item m="1" x="96"/>
        <item m="1" x="172"/>
        <item m="1" x="258"/>
        <item m="1" x="263"/>
        <item m="1" x="108"/>
        <item m="1" x="240"/>
        <item m="1" x="132"/>
        <item m="1" x="192"/>
        <item m="1" x="265"/>
        <item m="1" x="282"/>
        <item m="1" x="99"/>
        <item m="1" x="148"/>
        <item m="1" x="47"/>
        <item m="1" x="8"/>
        <item m="1" x="85"/>
        <item m="1" x="89"/>
        <item m="1" x="285"/>
        <item m="1" x="310"/>
        <item m="1" x="260"/>
        <item m="1" x="105"/>
        <item m="1" x="17"/>
        <item m="1" x="209"/>
        <item m="1" x="262"/>
        <item m="1" x="185"/>
        <item m="1" x="300"/>
        <item m="1" x="18"/>
        <item m="1" x="296"/>
        <item m="1" x="233"/>
        <item m="1" x="62"/>
        <item m="1" x="58"/>
        <item m="1" x="139"/>
        <item m="1" x="294"/>
        <item m="1" x="313"/>
        <item m="1" x="39"/>
        <item m="1" x="84"/>
        <item m="1" x="196"/>
        <item m="1" x="239"/>
        <item m="1" x="100"/>
        <item m="1" x="284"/>
        <item m="1" x="32"/>
        <item m="1" x="221"/>
        <item m="1" x="319"/>
        <item m="1" x="38"/>
        <item m="1" x="25"/>
        <item m="1" x="173"/>
        <item m="1" x="216"/>
        <item m="1" x="304"/>
        <item m="1" x="43"/>
        <item m="1" x="250"/>
        <item m="1" x="72"/>
        <item m="1" x="201"/>
        <item m="1" x="5"/>
        <item m="1" x="119"/>
        <item m="1" x="277"/>
        <item m="1" x="273"/>
        <item m="1" x="126"/>
        <item m="1" x="36"/>
        <item m="1" x="11"/>
        <item m="1" x="297"/>
        <item m="1" x="28"/>
        <item m="1" x="35"/>
        <item m="1" x="44"/>
        <item m="1" x="194"/>
        <item m="1" x="109"/>
        <item m="1" x="174"/>
        <item m="1" x="117"/>
        <item m="1" x="248"/>
        <item m="1" x="165"/>
        <item m="1" x="136"/>
        <item m="1" x="70"/>
        <item m="1" x="64"/>
        <item m="1" x="134"/>
        <item m="1" x="289"/>
        <item m="1" x="218"/>
        <item m="1" x="321"/>
        <item m="1" x="141"/>
        <item m="1" x="287"/>
        <item m="1" x="178"/>
        <item m="1" x="207"/>
        <item m="1" x="111"/>
        <item m="1" x="137"/>
        <item m="1" x="288"/>
        <item m="1" x="318"/>
        <item m="1" x="204"/>
        <item m="1" x="130"/>
        <item m="1" x="299"/>
        <item m="1" x="164"/>
        <item m="1" x="160"/>
        <item m="1" x="19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">
        <item m="1" x="67"/>
        <item m="1" x="58"/>
        <item m="1" x="34"/>
        <item m="1" x="18"/>
        <item m="1" x="2"/>
        <item m="1" x="41"/>
        <item m="1" x="72"/>
        <item m="1" x="36"/>
        <item m="1" x="27"/>
        <item m="1" x="74"/>
        <item m="1" x="10"/>
        <item m="1" x="31"/>
        <item m="1" x="48"/>
        <item m="1" x="53"/>
        <item m="1" x="55"/>
        <item m="1" x="63"/>
        <item m="1" x="49"/>
        <item m="1" x="64"/>
        <item m="1" x="24"/>
        <item m="1" x="23"/>
        <item m="1" x="30"/>
        <item m="1" x="28"/>
        <item m="1" x="5"/>
        <item m="1" x="6"/>
        <item m="1" x="76"/>
        <item m="1" x="33"/>
        <item m="1" x="12"/>
        <item m="1" x="59"/>
        <item m="1" x="68"/>
        <item m="1" x="46"/>
        <item m="1" x="75"/>
        <item m="1" x="50"/>
        <item m="1" x="42"/>
        <item x="0"/>
        <item m="1" x="44"/>
        <item m="1" x="52"/>
        <item m="1" x="57"/>
        <item m="1" x="11"/>
        <item m="1" x="71"/>
        <item m="1" x="39"/>
        <item m="1" x="73"/>
        <item m="1" x="70"/>
        <item m="1" x="61"/>
        <item m="1" x="60"/>
        <item m="1" x="78"/>
        <item m="1" x="14"/>
        <item m="1" x="8"/>
        <item m="1" x="29"/>
        <item m="1" x="65"/>
        <item m="1" x="13"/>
        <item m="1" x="20"/>
        <item m="1" x="25"/>
        <item m="1" x="17"/>
        <item m="1" x="47"/>
        <item m="1" x="7"/>
        <item m="1" x="35"/>
        <item m="1" x="77"/>
        <item m="1" x="4"/>
        <item m="1" x="15"/>
        <item m="1" x="54"/>
        <item m="1" x="51"/>
        <item m="1" x="26"/>
        <item m="1" x="22"/>
        <item m="1" x="62"/>
        <item m="1" x="66"/>
        <item m="1" x="37"/>
        <item m="1" x="56"/>
        <item m="1" x="45"/>
        <item m="1" x="16"/>
        <item m="1" x="9"/>
        <item m="1" x="1"/>
        <item m="1" x="3"/>
        <item m="1" x="43"/>
        <item m="1" x="69"/>
        <item m="1" x="19"/>
        <item m="1" x="21"/>
        <item m="1" x="32"/>
        <item m="1" x="38"/>
        <item m="1"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29">
        <item m="1" x="180"/>
        <item m="1" x="47"/>
        <item m="1" x="294"/>
        <item m="1" x="242"/>
        <item m="1" x="203"/>
        <item m="1" x="162"/>
        <item m="1" x="190"/>
        <item m="1" x="209"/>
        <item m="1" x="95"/>
        <item m="1" x="231"/>
        <item m="1" x="313"/>
        <item m="1" x="259"/>
        <item m="1" x="288"/>
        <item m="1" x="325"/>
        <item m="1" x="187"/>
        <item m="1" x="86"/>
        <item m="1" x="196"/>
        <item m="1" x="286"/>
        <item m="1" x="41"/>
        <item m="1" x="26"/>
        <item m="1" x="213"/>
        <item m="1" x="240"/>
        <item m="1" x="251"/>
        <item m="1" x="134"/>
        <item m="1" x="12"/>
        <item m="1" x="291"/>
        <item m="1" x="255"/>
        <item m="1" x="80"/>
        <item m="1" x="85"/>
        <item m="1" x="245"/>
        <item m="1" x="305"/>
        <item m="1" x="66"/>
        <item m="1" x="153"/>
        <item m="1" x="265"/>
        <item m="1" x="172"/>
        <item m="1" x="212"/>
        <item m="1" x="93"/>
        <item m="1" x="276"/>
        <item m="1" x="6"/>
        <item m="1" x="40"/>
        <item m="1" x="310"/>
        <item m="1" x="131"/>
        <item m="1" x="15"/>
        <item m="1" x="188"/>
        <item m="1" x="159"/>
        <item m="1" x="219"/>
        <item m="1" x="44"/>
        <item m="1" x="272"/>
        <item m="1" x="48"/>
        <item m="1" x="218"/>
        <item m="1" x="328"/>
        <item m="1" x="126"/>
        <item m="1" x="122"/>
        <item m="1" x="132"/>
        <item m="1" x="257"/>
        <item m="1" x="161"/>
        <item m="1" x="269"/>
        <item m="1" x="154"/>
        <item m="1" x="110"/>
        <item m="1" x="316"/>
        <item m="1" x="186"/>
        <item m="1" x="199"/>
        <item m="1" x="254"/>
        <item m="1" x="123"/>
        <item m="1" x="287"/>
        <item m="1" x="52"/>
        <item m="1" x="289"/>
        <item m="1" x="290"/>
        <item m="1" x="74"/>
        <item m="1" x="124"/>
        <item m="1" x="296"/>
        <item m="1" x="69"/>
        <item m="1" x="283"/>
        <item m="1" x="158"/>
        <item m="1" x="53"/>
        <item m="1" x="168"/>
        <item m="1" x="192"/>
        <item m="1" x="14"/>
        <item m="1" x="163"/>
        <item m="1" x="318"/>
        <item m="1" x="205"/>
        <item m="1" x="8"/>
        <item m="1" x="281"/>
        <item n="-" x="0"/>
        <item m="1" x="183"/>
        <item m="1" x="49"/>
        <item m="1" x="13"/>
        <item m="1" x="278"/>
        <item m="1" x="271"/>
        <item m="1" x="273"/>
        <item m="1" x="78"/>
        <item m="1" x="261"/>
        <item m="1" x="175"/>
        <item m="1" x="71"/>
        <item m="1" x="304"/>
        <item m="1" x="113"/>
        <item m="1" x="208"/>
        <item m="1" x="191"/>
        <item m="1" x="116"/>
        <item m="1" x="237"/>
        <item m="1" x="39"/>
        <item m="1" x="83"/>
        <item m="1" x="20"/>
        <item m="1" x="178"/>
        <item m="1" x="200"/>
        <item m="1" x="109"/>
        <item m="1" x="244"/>
        <item m="1" x="77"/>
        <item m="1" x="118"/>
        <item m="1" x="299"/>
        <item m="1" x="230"/>
        <item m="1" x="264"/>
        <item m="1" x="99"/>
        <item m="1" x="4"/>
        <item m="1" x="248"/>
        <item m="1" x="326"/>
        <item m="1" x="292"/>
        <item m="1" x="72"/>
        <item m="1" x="303"/>
        <item m="1" x="45"/>
        <item m="1" x="319"/>
        <item m="1" x="121"/>
        <item m="1" x="10"/>
        <item m="1" x="89"/>
        <item m="1" x="90"/>
        <item m="1" x="324"/>
        <item m="1" x="327"/>
        <item m="1" x="141"/>
        <item m="1" x="97"/>
        <item m="1" x="82"/>
        <item m="1" x="201"/>
        <item m="1" x="323"/>
        <item m="1" x="235"/>
        <item m="1" x="137"/>
        <item m="1" x="103"/>
        <item m="1" x="285"/>
        <item m="1" x="295"/>
        <item m="1" x="37"/>
        <item m="1" x="108"/>
        <item m="1" x="227"/>
        <item m="1" x="31"/>
        <item m="1" x="101"/>
        <item m="1" x="2"/>
        <item m="1" x="309"/>
        <item m="1" x="21"/>
        <item m="1" x="25"/>
        <item m="1" x="249"/>
        <item m="1" x="263"/>
        <item m="1" x="202"/>
        <item m="1" x="193"/>
        <item m="1" x="56"/>
        <item m="1" x="234"/>
        <item m="1" x="62"/>
        <item m="1" x="145"/>
        <item m="1" x="87"/>
        <item m="1" x="75"/>
        <item m="1" x="182"/>
        <item m="1" x="179"/>
        <item m="1" x="320"/>
        <item m="1" x="300"/>
        <item m="1" x="250"/>
        <item m="1" x="61"/>
        <item m="1" x="107"/>
        <item m="1" x="70"/>
        <item m="1" x="293"/>
        <item m="1" x="151"/>
        <item m="1" x="252"/>
        <item m="1" x="210"/>
        <item m="1" x="302"/>
        <item m="1" x="9"/>
        <item m="1" x="23"/>
        <item m="1" x="58"/>
        <item m="1" x="243"/>
        <item m="1" x="32"/>
        <item m="1" x="262"/>
        <item m="1" x="138"/>
        <item m="1" x="54"/>
        <item m="1" x="322"/>
        <item m="1" x="112"/>
        <item m="1" x="117"/>
        <item m="1" x="57"/>
        <item m="1" x="119"/>
        <item m="1" x="5"/>
        <item m="1" x="68"/>
        <item m="1" x="317"/>
        <item m="1" x="50"/>
        <item m="1" x="60"/>
        <item m="1" x="125"/>
        <item m="1" x="215"/>
        <item m="1" x="274"/>
        <item m="1" x="284"/>
        <item m="1" x="92"/>
        <item m="1" x="79"/>
        <item m="1" x="221"/>
        <item m="1" x="185"/>
        <item m="1" x="241"/>
        <item m="1" x="84"/>
        <item m="1" x="224"/>
        <item m="1" x="143"/>
        <item m="1" x="164"/>
        <item m="1" x="268"/>
        <item m="1" x="174"/>
        <item m="1" x="204"/>
        <item m="1" x="19"/>
        <item m="1" x="229"/>
        <item m="1" x="312"/>
        <item m="1" x="129"/>
        <item m="1" x="220"/>
        <item m="1" x="198"/>
        <item m="1" x="128"/>
        <item m="1" x="184"/>
        <item m="1" x="76"/>
        <item m="1" x="28"/>
        <item m="1" x="157"/>
        <item m="1" x="59"/>
        <item m="1" x="194"/>
        <item m="1" x="139"/>
        <item m="1" x="140"/>
        <item m="1" x="246"/>
        <item m="1" x="105"/>
        <item m="1" x="55"/>
        <item m="1" x="43"/>
        <item m="1" x="277"/>
        <item m="1" x="307"/>
        <item m="1" x="298"/>
        <item m="1" x="321"/>
        <item m="1" x="1"/>
        <item m="1" x="280"/>
        <item m="1" x="181"/>
        <item m="1" x="156"/>
        <item m="1" x="195"/>
        <item m="1" x="73"/>
        <item m="1" x="148"/>
        <item m="1" x="133"/>
        <item m="1" x="11"/>
        <item m="1" x="258"/>
        <item m="1" x="266"/>
        <item m="1" x="189"/>
        <item m="1" x="102"/>
        <item m="1" x="88"/>
        <item m="1" x="18"/>
        <item m="1" x="166"/>
        <item m="1" x="214"/>
        <item m="1" x="247"/>
        <item m="1" x="94"/>
        <item m="1" x="63"/>
        <item m="1" x="306"/>
        <item m="1" x="3"/>
        <item m="1" x="279"/>
        <item m="1" x="314"/>
        <item m="1" x="256"/>
        <item m="1" x="315"/>
        <item m="1" x="197"/>
        <item m="1" x="177"/>
        <item m="1" x="239"/>
        <item m="1" x="29"/>
        <item m="1" x="30"/>
        <item m="1" x="98"/>
        <item m="1" x="167"/>
        <item m="1" x="238"/>
        <item m="1" x="36"/>
        <item m="1" x="228"/>
        <item m="1" x="270"/>
        <item m="1" x="226"/>
        <item m="1" x="275"/>
        <item m="1" x="149"/>
        <item m="1" x="223"/>
        <item m="1" x="17"/>
        <item m="1" x="114"/>
        <item m="1" x="65"/>
        <item m="1" x="33"/>
        <item m="1" x="260"/>
        <item m="1" x="253"/>
        <item m="1" x="16"/>
        <item m="1" x="171"/>
        <item m="1" x="267"/>
        <item m="1" x="155"/>
        <item m="1" x="115"/>
        <item m="1" x="301"/>
        <item m="1" x="67"/>
        <item m="1" x="206"/>
        <item m="1" x="144"/>
        <item m="1" x="7"/>
        <item m="1" x="106"/>
        <item m="1" x="120"/>
        <item m="1" x="38"/>
        <item m="1" x="147"/>
        <item m="1" x="152"/>
        <item m="1" x="42"/>
        <item m="1" x="46"/>
        <item m="1" x="207"/>
        <item m="1" x="127"/>
        <item m="1" x="160"/>
        <item m="1" x="142"/>
        <item m="1" x="225"/>
        <item m="1" x="130"/>
        <item m="1" x="232"/>
        <item m="1" x="170"/>
        <item m="1" x="169"/>
        <item m="1" x="104"/>
        <item m="1" x="51"/>
        <item m="1" x="236"/>
        <item m="1" x="146"/>
        <item m="1" x="150"/>
        <item m="1" x="282"/>
        <item m="1" x="211"/>
        <item m="1" x="222"/>
        <item m="1" x="216"/>
        <item m="1" x="96"/>
        <item m="1" x="100"/>
        <item m="1" x="217"/>
        <item m="1" x="111"/>
        <item m="1" x="22"/>
        <item m="1" x="135"/>
        <item m="1" x="35"/>
        <item m="1" x="91"/>
        <item m="1" x="308"/>
        <item m="1" x="233"/>
        <item m="1" x="311"/>
        <item m="1" x="165"/>
        <item m="1" x="24"/>
        <item m="1" x="176"/>
        <item m="1" x="136"/>
        <item m="1" x="34"/>
        <item m="1" x="173"/>
        <item m="1" x="297"/>
        <item m="1" x="64"/>
        <item m="1" x="81"/>
        <item m="1"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3"/>
        <item m="1" x="6"/>
        <item m="1" x="5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">
        <item m="1" x="156"/>
        <item m="1" x="60"/>
        <item m="1" x="105"/>
        <item m="1" x="88"/>
        <item m="1" x="143"/>
        <item m="1" x="116"/>
        <item m="1" x="77"/>
        <item m="1" x="154"/>
        <item m="1" x="153"/>
        <item m="1" x="111"/>
        <item m="1" x="194"/>
        <item m="1" x="29"/>
        <item m="1" x="36"/>
        <item m="1" x="203"/>
        <item m="1" x="61"/>
        <item m="1" x="181"/>
        <item m="1" x="159"/>
        <item m="1" x="41"/>
        <item m="1" x="242"/>
        <item m="1" x="219"/>
        <item m="1" x="147"/>
        <item m="1" x="155"/>
        <item m="1" x="172"/>
        <item m="1" x="54"/>
        <item m="1" x="68"/>
        <item m="1" x="190"/>
        <item m="1" x="81"/>
        <item m="1" x="37"/>
        <item m="1" x="74"/>
        <item m="1" x="262"/>
        <item m="1" x="232"/>
        <item m="1" x="256"/>
        <item m="1" x="100"/>
        <item m="1" x="97"/>
        <item m="1" x="221"/>
        <item m="1" x="22"/>
        <item m="1" x="80"/>
        <item x="0"/>
        <item m="1" x="196"/>
        <item m="1" x="45"/>
        <item m="1" x="93"/>
        <item m="1" x="200"/>
        <item m="1" x="3"/>
        <item m="1" x="257"/>
        <item m="1" x="186"/>
        <item m="1" x="16"/>
        <item m="1" x="261"/>
        <item m="1" x="236"/>
        <item m="1" x="237"/>
        <item m="1" x="109"/>
        <item m="1" x="133"/>
        <item m="1" x="27"/>
        <item m="1" x="240"/>
        <item m="1" x="165"/>
        <item m="1" x="11"/>
        <item m="1" x="197"/>
        <item m="1" x="20"/>
        <item m="1" x="151"/>
        <item m="1" x="108"/>
        <item m="1" x="39"/>
        <item m="1" x="225"/>
        <item m="1" x="69"/>
        <item m="1" x="176"/>
        <item m="1" x="249"/>
        <item m="1" x="82"/>
        <item m="1" x="15"/>
        <item m="1" x="185"/>
        <item m="1" x="107"/>
        <item m="1" x="253"/>
        <item m="1" x="213"/>
        <item m="1" x="259"/>
        <item m="1" x="25"/>
        <item m="1" x="210"/>
        <item m="1" x="223"/>
        <item m="1" x="118"/>
        <item m="1" x="175"/>
        <item m="1" x="95"/>
        <item m="1" x="124"/>
        <item m="1" x="6"/>
        <item m="1" x="248"/>
        <item m="1" x="229"/>
        <item m="1" x="38"/>
        <item m="1" x="202"/>
        <item m="1" x="163"/>
        <item m="1" x="193"/>
        <item m="1" x="227"/>
        <item m="1" x="136"/>
        <item m="1" x="157"/>
        <item m="1" x="218"/>
        <item m="1" x="171"/>
        <item m="1" x="152"/>
        <item m="1" x="31"/>
        <item m="1" x="91"/>
        <item m="1" x="207"/>
        <item m="1" x="72"/>
        <item m="1" x="21"/>
        <item m="1" x="235"/>
        <item m="1" x="52"/>
        <item m="1" x="130"/>
        <item m="1" x="206"/>
        <item m="1" x="123"/>
        <item m="1" x="244"/>
        <item m="1" x="89"/>
        <item m="1" x="19"/>
        <item m="1" x="62"/>
        <item m="1" x="170"/>
        <item m="1" x="239"/>
        <item m="1" x="128"/>
        <item m="1" x="238"/>
        <item m="1" x="66"/>
        <item m="1" x="149"/>
        <item m="1" x="5"/>
        <item m="1" x="222"/>
        <item m="1" x="87"/>
        <item m="1" x="132"/>
        <item m="1" x="122"/>
        <item m="1" x="112"/>
        <item m="1" x="144"/>
        <item m="1" x="23"/>
        <item m="1" x="83"/>
        <item m="1" x="212"/>
        <item m="1" x="216"/>
        <item m="1" x="199"/>
        <item m="1" x="117"/>
        <item m="1" x="135"/>
        <item m="1" x="174"/>
        <item m="1" x="228"/>
        <item m="1" x="94"/>
        <item m="1" x="191"/>
        <item m="1" x="217"/>
        <item m="1" x="51"/>
        <item m="1" x="234"/>
        <item m="1" x="192"/>
        <item m="1" x="7"/>
        <item m="1" x="35"/>
        <item m="1" x="13"/>
        <item m="1" x="180"/>
        <item m="1" x="252"/>
        <item m="1" x="33"/>
        <item m="1" x="195"/>
        <item m="1" x="34"/>
        <item m="1" x="162"/>
        <item m="1" x="12"/>
        <item m="1" x="79"/>
        <item m="1" x="140"/>
        <item m="1" x="70"/>
        <item m="1" x="92"/>
        <item m="1" x="102"/>
        <item m="1" x="247"/>
        <item m="1" x="241"/>
        <item m="1" x="14"/>
        <item m="1" x="258"/>
        <item m="1" x="231"/>
        <item m="1" x="139"/>
        <item m="1" x="85"/>
        <item m="1" x="59"/>
        <item m="1" x="141"/>
        <item m="1" x="243"/>
        <item m="1" x="48"/>
        <item m="1" x="168"/>
        <item m="1" x="205"/>
        <item m="1" x="164"/>
        <item m="1" x="161"/>
        <item m="1" x="208"/>
        <item m="1" x="182"/>
        <item m="1" x="177"/>
        <item m="1" x="55"/>
        <item m="1" x="8"/>
        <item m="1" x="169"/>
        <item m="1" x="255"/>
        <item m="1" x="233"/>
        <item m="1" x="184"/>
        <item m="1" x="119"/>
        <item m="1" x="209"/>
        <item m="1" x="127"/>
        <item m="1" x="113"/>
        <item m="1" x="179"/>
        <item m="1" x="134"/>
        <item m="1" x="47"/>
        <item m="1" x="131"/>
        <item m="1" x="96"/>
        <item m="1" x="98"/>
        <item m="1" x="42"/>
        <item m="1" x="32"/>
        <item m="1" x="251"/>
        <item m="1" x="254"/>
        <item m="1" x="4"/>
        <item m="1" x="146"/>
        <item m="1" x="246"/>
        <item m="1" x="173"/>
        <item m="1" x="99"/>
        <item m="1" x="166"/>
        <item m="1" x="44"/>
        <item m="1" x="220"/>
        <item m="1" x="121"/>
        <item m="1" x="64"/>
        <item m="1" x="126"/>
        <item m="1" x="40"/>
        <item m="1" x="30"/>
        <item m="1" x="84"/>
        <item m="1" x="104"/>
        <item m="1" x="71"/>
        <item m="1" x="50"/>
        <item m="1" x="245"/>
        <item m="1" x="188"/>
        <item m="1" x="230"/>
        <item m="1" x="187"/>
        <item m="1" x="160"/>
        <item m="1" x="110"/>
        <item m="1" x="90"/>
        <item m="1" x="214"/>
        <item m="1" x="115"/>
        <item m="1" x="86"/>
        <item m="1" x="76"/>
        <item m="1" x="101"/>
        <item m="1" x="78"/>
        <item m="1" x="58"/>
        <item m="1" x="18"/>
        <item m="1" x="26"/>
        <item m="1" x="250"/>
        <item m="1" x="142"/>
        <item m="1" x="215"/>
        <item m="1" x="53"/>
        <item m="1" x="148"/>
        <item m="1" x="204"/>
        <item m="1" x="201"/>
        <item m="1" x="46"/>
        <item m="1" x="49"/>
        <item m="1" x="73"/>
        <item m="1" x="137"/>
        <item m="1" x="158"/>
        <item m="1" x="65"/>
        <item m="1" x="57"/>
        <item m="1" x="129"/>
        <item m="1" x="145"/>
        <item m="1" x="178"/>
        <item m="1" x="211"/>
        <item m="1" x="2"/>
        <item m="1" x="226"/>
        <item m="1" x="9"/>
        <item m="1" x="198"/>
        <item m="1" x="167"/>
        <item m="1" x="183"/>
        <item m="1" x="120"/>
        <item m="1" x="189"/>
        <item m="1" x="150"/>
        <item m="1" x="106"/>
        <item m="1" x="125"/>
        <item m="1" x="138"/>
        <item m="1" x="114"/>
        <item m="1" x="67"/>
        <item m="1" x="103"/>
        <item m="1" x="63"/>
        <item m="1" x="56"/>
        <item m="1" x="75"/>
        <item m="1" x="43"/>
        <item m="1" x="224"/>
        <item m="1" x="28"/>
        <item m="1" x="1"/>
        <item m="1" x="24"/>
        <item m="1" x="17"/>
        <item m="1" x="10"/>
        <item m="1" x="2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5">
        <item x="0"/>
        <item m="1" x="29"/>
        <item m="1" x="70"/>
        <item m="1" x="23"/>
        <item m="1" x="61"/>
        <item m="1" x="17"/>
        <item m="1" x="154"/>
        <item m="1" x="13"/>
        <item m="1" x="151"/>
        <item m="1" x="56"/>
        <item m="1" x="9"/>
        <item m="1" x="53"/>
        <item m="1" x="148"/>
        <item m="1" x="97"/>
        <item m="1" x="47"/>
        <item m="1" x="45"/>
        <item m="1" x="188"/>
        <item m="1" x="134"/>
        <item m="1" x="100"/>
        <item m="1" x="51"/>
        <item m="1" x="146"/>
        <item m="1" x="189"/>
        <item m="1" x="141"/>
        <item m="1" x="91"/>
        <item m="1" x="62"/>
        <item m="1" x="78"/>
        <item m="1" x="175"/>
        <item m="1" x="113"/>
        <item m="1" x="18"/>
        <item m="1" x="49"/>
        <item m="1" x="140"/>
        <item m="1" x="46"/>
        <item m="1" x="143"/>
        <item m="1" x="5"/>
        <item m="1" x="83"/>
        <item m="1" x="99"/>
        <item m="1" x="162"/>
        <item m="1" x="68"/>
        <item m="1" x="84"/>
        <item m="1" x="50"/>
        <item m="1" x="172"/>
        <item m="1" x="37"/>
        <item m="1" x="69"/>
        <item m="1" x="144"/>
        <item m="1" x="178"/>
        <item m="1" x="65"/>
        <item m="1" x="54"/>
        <item m="1" x="76"/>
        <item m="1" x="192"/>
        <item m="1" x="85"/>
        <item m="1" x="155"/>
        <item m="1" x="93"/>
        <item m="1" x="10"/>
        <item m="1" x="72"/>
        <item m="1" x="27"/>
        <item m="1" x="169"/>
        <item m="1" x="142"/>
        <item m="1" x="92"/>
        <item m="1" x="41"/>
        <item m="1" x="55"/>
        <item m="1" x="30"/>
        <item m="1" x="119"/>
        <item m="1" x="129"/>
        <item m="1" x="77"/>
        <item m="1" x="21"/>
        <item m="1" x="88"/>
        <item m="1" x="102"/>
        <item m="1" x="80"/>
        <item m="1" x="149"/>
        <item m="1" x="79"/>
        <item m="1" x="194"/>
        <item m="1" x="35"/>
        <item m="1" x="73"/>
        <item m="1" x="137"/>
        <item m="1" x="8"/>
        <item m="1" x="12"/>
        <item m="1" x="115"/>
        <item m="1" x="181"/>
        <item m="1" x="19"/>
        <item m="1" x="58"/>
        <item m="1" x="40"/>
        <item m="1" x="153"/>
        <item m="1" x="135"/>
        <item m="1" x="191"/>
        <item m="1" x="94"/>
        <item m="1" x="161"/>
        <item m="1" x="132"/>
        <item m="1" x="123"/>
        <item m="1" x="64"/>
        <item m="1" x="26"/>
        <item m="1" x="165"/>
        <item m="1" x="71"/>
        <item m="1" x="163"/>
        <item m="1" x="125"/>
        <item m="1" x="44"/>
        <item m="1" x="82"/>
        <item m="1" x="1"/>
        <item m="1" x="187"/>
        <item m="1" x="60"/>
        <item m="1" x="117"/>
        <item m="1" x="176"/>
        <item m="1" x="122"/>
        <item m="1" x="87"/>
        <item m="1" x="166"/>
        <item m="1" x="75"/>
        <item m="1" x="66"/>
        <item m="1" x="22"/>
        <item m="1" x="20"/>
        <item m="1" x="52"/>
        <item m="1" x="111"/>
        <item m="1" x="14"/>
        <item m="1" x="131"/>
        <item m="1" x="67"/>
        <item m="1" x="101"/>
        <item m="1" x="179"/>
        <item m="1" x="156"/>
        <item m="1" x="3"/>
        <item m="1" x="190"/>
        <item m="1" x="38"/>
        <item m="1" x="43"/>
        <item m="1" x="170"/>
        <item m="1" x="114"/>
        <item m="1" x="108"/>
        <item m="1" x="90"/>
        <item m="1" x="116"/>
        <item m="1" x="24"/>
        <item m="1" x="177"/>
        <item m="1" x="57"/>
        <item m="1" x="11"/>
        <item m="1" x="186"/>
        <item m="1" x="139"/>
        <item m="1" x="150"/>
        <item m="1" x="104"/>
        <item m="1" x="130"/>
        <item m="1" x="138"/>
        <item m="1" x="48"/>
        <item m="1" x="184"/>
        <item m="1" x="174"/>
        <item m="1" x="39"/>
        <item m="1" x="107"/>
        <item m="1" x="160"/>
        <item m="1" x="15"/>
        <item m="1" x="25"/>
        <item m="1" x="96"/>
        <item m="1" x="173"/>
        <item m="1" x="136"/>
        <item m="1" x="89"/>
        <item m="1" x="33"/>
        <item m="1" x="152"/>
        <item m="1" x="74"/>
        <item m="1" x="34"/>
        <item m="1" x="127"/>
        <item m="1" x="157"/>
        <item m="1" x="110"/>
        <item m="1" x="63"/>
        <item m="1" x="2"/>
        <item m="1" x="42"/>
        <item m="1" x="4"/>
        <item m="1" x="81"/>
        <item m="1" x="16"/>
        <item m="1" x="95"/>
        <item m="1" x="36"/>
        <item m="1" x="124"/>
        <item m="1" x="171"/>
        <item m="1" x="7"/>
        <item m="1" x="28"/>
        <item m="1" x="167"/>
        <item m="1" x="193"/>
        <item m="1" x="112"/>
        <item m="1" x="32"/>
        <item m="1" x="180"/>
        <item m="1" x="183"/>
        <item m="1" x="145"/>
        <item m="1" x="126"/>
        <item m="1" x="120"/>
        <item m="1" x="182"/>
        <item m="1" x="59"/>
        <item m="1" x="118"/>
        <item m="1" x="109"/>
        <item m="1" x="106"/>
        <item m="1" x="103"/>
        <item m="1" x="147"/>
        <item m="1" x="98"/>
        <item m="1" x="31"/>
        <item m="1" x="105"/>
        <item m="1" x="86"/>
        <item m="1" x="121"/>
        <item m="1" x="133"/>
        <item m="1" x="168"/>
        <item m="1" x="159"/>
        <item m="1" x="185"/>
        <item m="1" x="128"/>
        <item m="1" x="158"/>
        <item m="1" x="16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"/>
        <item m="1" x="9"/>
        <item m="1" x="7"/>
        <item m="1" x="5"/>
        <item m="1" x="3"/>
        <item m="1" x="6"/>
        <item m="1" x="4"/>
        <item m="1" x="10"/>
        <item m="1" x="8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3"/>
    <field x="4"/>
    <field x="7"/>
    <field x="8"/>
    <field x="19"/>
    <field x="20"/>
    <field x="38"/>
  </rowFields>
  <rowItems count="1"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5" item="2" hier="-1"/>
  </pageFields>
  <dataFields count="5">
    <dataField name="Soma de VALOR FATURADO" fld="21" baseField="0" baseItem="0"/>
    <dataField name="Soma de TOTAL CUSTO (O.C + DI + MT + MO+DESP)" fld="32" baseField="0" baseItem="0"/>
    <dataField name="Soma de R$ (CONTRATO - CUSTOS)" fld="34" baseField="0" baseItem="0"/>
    <dataField name="Soma de ANALISE (CONTRATO - FAT)" fld="36" baseField="0" baseItem="0"/>
    <dataField name="Soma de VALOR CONTRATO" fld="9" baseField="38" baseItem="2" numFmtId="164"/>
  </dataFields>
  <formats count="3">
    <format dxfId="25">
      <pivotArea field="9" type="button" dataOnly="0" labelOnly="1" outline="0"/>
    </format>
    <format dxfId="24">
      <pivotArea dataOnly="0" outline="0" fieldPosition="0">
        <references count="2">
          <reference field="4294967294" count="3">
            <x v="0"/>
            <x v="2"/>
            <x v="3"/>
          </reference>
          <reference field="5" count="1" selected="0">
            <x v="1"/>
          </reference>
        </references>
      </pivotArea>
    </format>
    <format dxfId="23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DIN_FAT" cacheId="5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 chartFormat="3">
  <location ref="C8:J10" firstHeaderRow="1" firstDataRow="1" firstDataCol="7" rowPageCount="1" colPageCount="1"/>
  <pivotFields count="13">
    <pivotField axis="axisRow" compact="0" outline="0" showAll="0" defaultSubtotal="0">
      <items count="2313">
        <item m="1" x="1308"/>
        <item m="1" x="1449"/>
        <item m="1" x="1518"/>
        <item m="1" x="1555"/>
        <item m="1" x="1593"/>
        <item m="1" x="1625"/>
        <item m="1" x="1660"/>
        <item m="1" x="1699"/>
        <item m="1" x="1732"/>
        <item m="1" x="1767"/>
        <item m="1" x="1803"/>
        <item m="1" x="1839"/>
        <item m="1" x="1875"/>
        <item m="1" x="1912"/>
        <item m="1" x="1986"/>
        <item m="1" x="2083"/>
        <item m="1" x="2120"/>
        <item m="1" x="2152"/>
        <item m="1" x="2190"/>
        <item m="1" x="2263"/>
        <item m="1" x="21"/>
        <item m="1" x="89"/>
        <item m="1" x="160"/>
        <item m="1" x="192"/>
        <item m="1" x="262"/>
        <item m="1" x="299"/>
        <item m="1" x="367"/>
        <item m="1" x="401"/>
        <item m="1" x="436"/>
        <item m="1" x="473"/>
        <item m="1" x="509"/>
        <item m="1" x="546"/>
        <item m="1" x="582"/>
        <item m="1" x="616"/>
        <item m="1" x="650"/>
        <item m="1" x="688"/>
        <item m="1" x="723"/>
        <item m="1" x="757"/>
        <item m="1" x="795"/>
        <item m="1" x="834"/>
        <item m="1" x="871"/>
        <item m="1" x="907"/>
        <item m="1" x="946"/>
        <item m="1" x="982"/>
        <item m="1" x="1016"/>
        <item m="1" x="1052"/>
        <item m="1" x="1087"/>
        <item m="1" x="1126"/>
        <item m="1" x="1163"/>
        <item m="1" x="1197"/>
        <item m="1" x="1235"/>
        <item m="1" x="1339"/>
        <item m="1" x="1411"/>
        <item m="1" x="1480"/>
        <item m="1" x="1515"/>
        <item m="1" x="1590"/>
        <item m="1" x="1623"/>
        <item m="1" x="1696"/>
        <item m="1" x="1765"/>
        <item m="1" x="1836"/>
        <item m="1" x="686"/>
        <item m="1" x="1872"/>
        <item m="1" x="721"/>
        <item m="1" x="1909"/>
        <item m="1" x="755"/>
        <item m="1" x="1947"/>
        <item m="1" x="793"/>
        <item m="1" x="1983"/>
        <item m="1" x="832"/>
        <item m="1" x="2015"/>
        <item m="1" x="869"/>
        <item m="1" x="2048"/>
        <item m="1" x="2081"/>
        <item m="1" x="2117"/>
        <item m="1" x="1014"/>
        <item m="1" x="2187"/>
        <item m="1" x="1050"/>
        <item m="1" x="2225"/>
        <item m="1" x="1085"/>
        <item m="1" x="2261"/>
        <item m="1" x="1124"/>
        <item m="1" x="2296"/>
        <item m="1" x="1161"/>
        <item m="1" x="1195"/>
        <item m="1" x="52"/>
        <item m="1" x="1233"/>
        <item m="1" x="86"/>
        <item m="1" x="1269"/>
        <item m="1" x="123"/>
        <item m="1" x="1304"/>
        <item m="1" x="157"/>
        <item m="1" x="1337"/>
        <item m="1" x="226"/>
        <item m="1" x="1409"/>
        <item m="1" x="259"/>
        <item m="1" x="1445"/>
        <item m="1" x="296"/>
        <item m="1" x="1478"/>
        <item m="1" x="332"/>
        <item m="1" x="1513"/>
        <item m="1" x="364"/>
        <item m="1" x="1551"/>
        <item m="1" x="398"/>
        <item m="1" x="1588"/>
        <item m="1" x="506"/>
        <item m="1" x="1694"/>
        <item m="1" x="543"/>
        <item m="1" x="579"/>
        <item m="1" x="1763"/>
        <item m="1" x="615"/>
        <item m="1" x="1799"/>
        <item m="1" x="647"/>
        <item m="1" x="1834"/>
        <item m="1" x="684"/>
        <item m="1" x="1870"/>
        <item m="1" x="719"/>
        <item m="1" x="1907"/>
        <item m="1" x="1945"/>
        <item m="1" x="791"/>
        <item m="1" x="1981"/>
        <item m="1" x="830"/>
        <item m="1" x="867"/>
        <item m="1" x="904"/>
        <item m="1" x="942"/>
        <item m="1" x="2115"/>
        <item m="1" x="979"/>
        <item m="1" x="1012"/>
        <item m="1" x="2259"/>
        <item m="1" x="511"/>
        <item m="1" x="6"/>
        <item m="1" x="2153"/>
        <item m="1" x="1018"/>
        <item m="1" x="2191"/>
        <item m="1" x="496"/>
        <item m="1" x="1089"/>
        <item m="1" x="1681"/>
        <item m="1" x="2264"/>
        <item m="1" x="531"/>
        <item m="1" x="1128"/>
        <item m="1" x="2299"/>
        <item m="1" x="567"/>
        <item m="1" x="22"/>
        <item m="1" x="603"/>
        <item m="1" x="1199"/>
        <item m="1" x="1786"/>
        <item m="1" x="55"/>
        <item m="1" x="636"/>
        <item m="1" x="1237"/>
        <item m="1" x="1822"/>
        <item m="1" x="90"/>
        <item m="1" x="673"/>
        <item m="1" x="1272"/>
        <item m="1" x="1858"/>
        <item m="1" x="126"/>
        <item m="1" x="709"/>
        <item m="1" x="1307"/>
        <item m="1" x="1894"/>
        <item m="1" x="161"/>
        <item m="1" x="743"/>
        <item m="1" x="1341"/>
        <item m="1" x="1932"/>
        <item m="1" x="193"/>
        <item m="1" x="780"/>
        <item m="1" x="1378"/>
        <item m="1" x="1969"/>
        <item m="1" x="229"/>
        <item m="1" x="819"/>
        <item m="1" x="1413"/>
        <item m="1" x="2002"/>
        <item m="1" x="263"/>
        <item m="1" x="856"/>
        <item m="1" x="1448"/>
        <item m="1" x="2036"/>
        <item m="1" x="300"/>
        <item m="1" x="892"/>
        <item m="1" x="1482"/>
        <item m="1" x="2068"/>
        <item m="1" x="335"/>
        <item m="1" x="930"/>
        <item m="1" x="1517"/>
        <item m="1" x="2101"/>
        <item m="1" x="966"/>
        <item m="1" x="1554"/>
        <item m="1" x="2139"/>
        <item m="1" x="402"/>
        <item m="1" x="1003"/>
        <item m="1" x="1592"/>
        <item m="1" x="2172"/>
        <item m="1" x="437"/>
        <item m="1" x="1037"/>
        <item m="1" x="2210"/>
        <item m="1" x="474"/>
        <item m="1" x="1074"/>
        <item m="1" x="1659"/>
        <item m="1" x="2246"/>
        <item m="1" x="510"/>
        <item m="1" x="1108"/>
        <item m="1" x="1698"/>
        <item m="1" x="2282"/>
        <item m="1" x="547"/>
        <item m="1" x="1149"/>
        <item m="1" x="1731"/>
        <item m="1" x="5"/>
        <item m="1" x="583"/>
        <item m="1" x="1766"/>
        <item m="1" x="38"/>
        <item m="1" x="1218"/>
        <item m="1" x="1802"/>
        <item m="1" x="651"/>
        <item m="1" x="1255"/>
        <item m="1" x="1838"/>
        <item m="1" x="108"/>
        <item m="1" x="689"/>
        <item m="1" x="1290"/>
        <item m="1" x="1874"/>
        <item m="1" x="142"/>
        <item m="1" x="724"/>
        <item m="1" x="1325"/>
        <item m="1" x="1911"/>
        <item m="1" x="176"/>
        <item m="1" x="758"/>
        <item m="1" x="1362"/>
        <item m="1" x="1949"/>
        <item m="1" x="211"/>
        <item m="1" x="796"/>
        <item m="1" x="1396"/>
        <item m="1" x="1985"/>
        <item m="1" x="247"/>
        <item m="1" x="835"/>
        <item m="1" x="1431"/>
        <item m="1" x="2017"/>
        <item m="1" x="282"/>
        <item m="1" x="872"/>
        <item m="1" x="1466"/>
        <item m="1" x="2050"/>
        <item m="1" x="319"/>
        <item m="1" x="908"/>
        <item m="1" x="1501"/>
        <item m="1" x="2082"/>
        <item m="1" x="353"/>
        <item m="1" x="947"/>
        <item m="1" x="1537"/>
        <item m="1" x="2119"/>
        <item m="1" x="384"/>
        <item m="1" x="983"/>
        <item m="1" x="1574"/>
        <item m="1" x="2151"/>
        <item m="1" x="420"/>
        <item m="1" x="1017"/>
        <item m="1" x="1610"/>
        <item m="1" x="2189"/>
        <item m="1" x="458"/>
        <item m="1" x="1053"/>
        <item m="1" x="1644"/>
        <item m="1" x="2227"/>
        <item m="1" x="495"/>
        <item m="1" x="1088"/>
        <item m="1" x="1680"/>
        <item m="1" x="2262"/>
        <item m="1" x="530"/>
        <item m="1" x="1127"/>
        <item m="1" x="1720"/>
        <item m="1" x="2298"/>
        <item m="1" x="565"/>
        <item m="1" x="1164"/>
        <item m="1" x="1751"/>
        <item m="1" x="1198"/>
        <item m="1" x="1785"/>
        <item m="1" x="54"/>
        <item m="1" x="1236"/>
        <item m="1" x="1821"/>
        <item m="1" x="88"/>
        <item m="1" x="672"/>
        <item m="1" x="1271"/>
        <item m="1" x="1857"/>
        <item m="1" x="125"/>
        <item m="1" x="708"/>
        <item m="1" x="1306"/>
        <item m="1" x="1893"/>
        <item m="1" x="159"/>
        <item m="1" x="1340"/>
        <item m="1" x="1931"/>
        <item m="1" x="191"/>
        <item m="1" x="778"/>
        <item m="1" x="1377"/>
        <item m="1" x="1968"/>
        <item m="1" x="228"/>
        <item m="1" x="818"/>
        <item m="1" x="1412"/>
        <item m="1" x="2001"/>
        <item m="1" x="261"/>
        <item m="1" x="854"/>
        <item m="1" x="1447"/>
        <item m="1" x="2035"/>
        <item m="1" x="298"/>
        <item m="1" x="891"/>
        <item m="1" x="1481"/>
        <item m="1" x="2067"/>
        <item m="1" x="334"/>
        <item m="1" x="928"/>
        <item m="1" x="1516"/>
        <item m="1" x="2100"/>
        <item m="1" x="366"/>
        <item m="1" x="965"/>
        <item m="1" x="1553"/>
        <item m="1" x="2138"/>
        <item m="1" x="400"/>
        <item m="1" x="1002"/>
        <item m="1" x="1591"/>
        <item m="1" x="2171"/>
        <item m="1" x="435"/>
        <item m="1" x="1036"/>
        <item m="1" x="1624"/>
        <item m="1" x="2209"/>
        <item m="1" x="472"/>
        <item m="1" x="1072"/>
        <item m="1" x="1658"/>
        <item m="1" x="2245"/>
        <item m="1" x="508"/>
        <item m="1" x="1107"/>
        <item m="1" x="1697"/>
        <item m="1" x="2281"/>
        <item m="1" x="545"/>
        <item m="1" x="1147"/>
        <item m="1" x="1730"/>
        <item m="1" x="4"/>
        <item m="1" x="581"/>
        <item m="1" x="1216"/>
        <item m="1" x="1801"/>
        <item m="1" x="72"/>
        <item m="1" x="649"/>
        <item m="1" x="1254"/>
        <item m="1" x="1837"/>
        <item m="1" x="107"/>
        <item m="1" x="687"/>
        <item m="1" x="1288"/>
        <item m="1" x="1873"/>
        <item m="1" x="141"/>
        <item m="1" x="722"/>
        <item m="1" x="1324"/>
        <item m="1" x="1910"/>
        <item m="1" x="175"/>
        <item m="1" x="756"/>
        <item m="1" x="1360"/>
        <item m="1" x="210"/>
        <item m="1" x="794"/>
        <item m="1" x="1395"/>
        <item m="1" x="1984"/>
        <item m="1" x="246"/>
        <item m="1" x="833"/>
        <item m="1" x="1429"/>
        <item m="1" x="2016"/>
        <item m="1" x="281"/>
        <item m="1" x="870"/>
        <item m="1" x="1465"/>
        <item m="1" x="2049"/>
        <item m="1" x="318"/>
        <item m="1" x="906"/>
        <item m="1" x="1499"/>
        <item m="1" x="352"/>
        <item m="1" x="944"/>
        <item m="1" x="2118"/>
        <item m="1" x="383"/>
        <item m="1" x="981"/>
        <item m="1" x="1572"/>
        <item m="1" x="2150"/>
        <item m="1" x="419"/>
        <item m="1" x="1015"/>
        <item m="1" x="1609"/>
        <item m="1" x="2188"/>
        <item m="1" x="457"/>
        <item m="1" x="1051"/>
        <item m="1" x="1642"/>
        <item m="1" x="2226"/>
        <item m="1" x="494"/>
        <item m="1" x="1086"/>
        <item m="1" x="1679"/>
        <item m="1" x="529"/>
        <item m="1" x="1125"/>
        <item m="1" x="1718"/>
        <item m="1" x="2297"/>
        <item m="1" x="564"/>
        <item m="1" x="1162"/>
        <item m="1" x="1750"/>
        <item m="1" x="20"/>
        <item m="1" x="602"/>
        <item m="1" x="1196"/>
        <item m="1" x="1783"/>
        <item m="1" x="53"/>
        <item m="1" x="634"/>
        <item m="1" x="1234"/>
        <item m="1" x="1528"/>
        <item m="1" x="1820"/>
        <item m="1" x="2110"/>
        <item m="1" x="87"/>
        <item m="1" x="376"/>
        <item m="1" x="671"/>
        <item m="1" x="975"/>
        <item m="1" x="1270"/>
        <item m="1" x="1564"/>
        <item m="1" x="1855"/>
        <item m="1" x="2145"/>
        <item m="1" x="124"/>
        <item m="1" x="413"/>
        <item m="1" x="707"/>
        <item m="1" x="1305"/>
        <item m="1" x="1602"/>
        <item m="1" x="1892"/>
        <item m="1" x="2180"/>
        <item m="1" x="158"/>
        <item m="1" x="448"/>
        <item m="1" x="742"/>
        <item m="1" x="1046"/>
        <item m="1" x="1338"/>
        <item m="1" x="1633"/>
        <item m="1" x="1929"/>
        <item m="1" x="2219"/>
        <item m="1" x="190"/>
        <item m="1" x="484"/>
        <item m="1" x="777"/>
        <item m="1" x="1081"/>
        <item m="1" x="1376"/>
        <item m="1" x="1670"/>
        <item m="1" x="1967"/>
        <item m="1" x="2253"/>
        <item m="1" x="227"/>
        <item m="1" x="520"/>
        <item m="1" x="817"/>
        <item m="1" x="1118"/>
        <item m="1" x="1410"/>
        <item m="1" x="1709"/>
        <item m="1" x="2000"/>
        <item m="1" x="2289"/>
        <item m="1" x="260"/>
        <item m="1" x="556"/>
        <item m="1" x="853"/>
        <item m="1" x="1156"/>
        <item m="1" x="1446"/>
        <item m="1" x="1740"/>
        <item m="1" x="2034"/>
        <item m="1" x="13"/>
        <item m="1" x="297"/>
        <item m="1" x="593"/>
        <item m="1" x="890"/>
        <item m="1" x="1190"/>
        <item m="1" x="1479"/>
        <item m="1" x="1776"/>
        <item m="1" x="2066"/>
        <item m="1" x="45"/>
        <item m="1" x="333"/>
        <item m="1" x="625"/>
        <item m="1" x="927"/>
        <item m="1" x="1226"/>
        <item m="1" x="1514"/>
        <item m="1" x="1811"/>
        <item m="1" x="2099"/>
        <item m="1" x="80"/>
        <item m="1" x="365"/>
        <item m="1" x="660"/>
        <item m="1" x="964"/>
        <item m="1" x="1264"/>
        <item m="1" x="1552"/>
        <item m="1" x="1847"/>
        <item m="1" x="2136"/>
        <item m="1" x="116"/>
        <item m="1" x="399"/>
        <item m="1" x="698"/>
        <item m="1" x="1001"/>
        <item m="1" x="1298"/>
        <item m="1" x="1589"/>
        <item m="1" x="1884"/>
        <item m="1" x="2169"/>
        <item m="1" x="150"/>
        <item m="1" x="434"/>
        <item m="1" x="732"/>
        <item m="1" x="1035"/>
        <item m="1" x="1332"/>
        <item m="1" x="1622"/>
        <item m="1" x="1920"/>
        <item m="1" x="2207"/>
        <item m="1" x="183"/>
        <item m="1" x="471"/>
        <item m="1" x="767"/>
        <item m="1" x="1071"/>
        <item m="1" x="1370"/>
        <item m="1" x="1657"/>
        <item m="1" x="1959"/>
        <item m="1" x="2243"/>
        <item m="1" x="507"/>
        <item m="1" x="807"/>
        <item m="1" x="1106"/>
        <item m="1" x="1404"/>
        <item m="1" x="1695"/>
        <item m="1" x="1993"/>
        <item m="1" x="2279"/>
        <item m="1" x="254"/>
        <item m="1" x="544"/>
        <item m="1" x="845"/>
        <item m="1" x="1146"/>
        <item m="1" x="1440"/>
        <item m="1" x="1729"/>
        <item m="1" x="2027"/>
        <item m="1" x="2"/>
        <item m="1" x="290"/>
        <item m="1" x="580"/>
        <item m="1" x="882"/>
        <item m="1" x="1182"/>
        <item m="1" x="1473"/>
        <item m="1" x="1764"/>
        <item m="1" x="2058"/>
        <item m="1" x="36"/>
        <item m="1" x="919"/>
        <item m="1" x="1215"/>
        <item m="1" x="1507"/>
        <item m="1" x="1800"/>
        <item m="1" x="2091"/>
        <item m="1" x="70"/>
        <item m="1" x="360"/>
        <item m="1" x="648"/>
        <item m="1" x="956"/>
        <item m="1" x="1253"/>
        <item m="1" x="1546"/>
        <item m="1" x="1835"/>
        <item m="1" x="2129"/>
        <item m="1" x="105"/>
        <item m="1" x="392"/>
        <item m="1" x="685"/>
        <item m="1" x="994"/>
        <item m="1" x="1287"/>
        <item m="1" x="1582"/>
        <item m="1" x="1871"/>
        <item m="1" x="139"/>
        <item m="1" x="429"/>
        <item m="1" x="720"/>
        <item m="1" x="1026"/>
        <item m="1" x="1323"/>
        <item m="1" x="1617"/>
        <item m="1" x="1908"/>
        <item m="1" x="2199"/>
        <item m="1" x="174"/>
        <item m="1" x="754"/>
        <item m="1" x="1062"/>
        <item m="1" x="1359"/>
        <item m="1" x="1651"/>
        <item m="1" x="1946"/>
        <item m="1" x="2235"/>
        <item m="1" x="501"/>
        <item m="1" x="792"/>
        <item m="1" x="1097"/>
        <item m="1" x="1394"/>
        <item m="1" x="1689"/>
        <item m="1" x="1982"/>
        <item m="1" x="2271"/>
        <item m="1" x="244"/>
        <item m="1" x="537"/>
        <item m="1" x="831"/>
        <item m="1" x="1137"/>
        <item m="1" x="1428"/>
        <item m="1" x="1725"/>
        <item m="1" x="2014"/>
        <item m="1" x="2306"/>
        <item m="1" x="279"/>
        <item m="1" x="574"/>
        <item m="1" x="868"/>
        <item m="1" x="1173"/>
        <item m="1" x="1464"/>
        <item m="1" x="1758"/>
        <item m="1" x="2047"/>
        <item m="1" x="27"/>
        <item m="1" x="316"/>
        <item m="1" x="609"/>
        <item m="1" x="1793"/>
        <item m="1" x="2080"/>
        <item m="1" x="63"/>
        <item m="1" x="643"/>
        <item m="1" x="943"/>
        <item m="1" x="1246"/>
        <item m="1" x="1536"/>
        <item m="1" x="1829"/>
        <item m="1" x="2116"/>
        <item m="1" x="98"/>
        <item m="1" x="381"/>
        <item m="1" x="980"/>
        <item m="1" x="1280"/>
        <item m="1" x="1571"/>
        <item m="1" x="1864"/>
        <item m="1" x="2149"/>
        <item m="1" x="131"/>
        <item m="1" x="418"/>
        <item m="1" x="715"/>
        <item m="1" x="1013"/>
        <item m="1" x="1315"/>
        <item m="1" x="1902"/>
        <item m="1" x="2186"/>
        <item m="1" x="455"/>
        <item m="1" x="750"/>
        <item m="1" x="1049"/>
        <item m="1" x="1349"/>
        <item m="1" x="1641"/>
        <item m="1" x="1939"/>
        <item m="1" x="2224"/>
        <item m="1" x="201"/>
        <item m="1" x="492"/>
        <item m="1" x="786"/>
        <item m="1" x="1084"/>
        <item m="1" x="1386"/>
        <item m="1" x="1678"/>
        <item m="1" x="1976"/>
        <item m="1" x="2260"/>
        <item m="1" x="235"/>
        <item m="1" x="527"/>
        <item m="1" x="824"/>
        <item m="1" x="1123"/>
        <item m="1" x="1420"/>
        <item m="1" x="1717"/>
        <item m="1" x="2008"/>
        <item m="1" x="2295"/>
        <item m="1" x="271"/>
        <item m="1" x="562"/>
        <item m="1" x="863"/>
        <item m="1" x="1160"/>
        <item m="1" x="1457"/>
        <item m="1" x="1748"/>
        <item m="1" x="2043"/>
        <item m="1" x="19"/>
        <item m="1" x="308"/>
        <item m="1" x="600"/>
        <item m="1" x="899"/>
        <item m="1" x="1490"/>
        <item m="1" x="2075"/>
        <item m="1" x="51"/>
        <item m="1" x="343"/>
        <item m="1" x="632"/>
        <item m="1" x="937"/>
        <item m="1" x="1232"/>
        <item m="1" x="1526"/>
        <item m="1" x="1819"/>
        <item m="1" x="2108"/>
        <item m="1" x="85"/>
        <item m="1" x="373"/>
        <item m="1" x="669"/>
        <item m="1" x="973"/>
        <item m="1" x="1268"/>
        <item m="1" x="1562"/>
        <item m="1" x="1854"/>
        <item m="1" x="2143"/>
        <item m="1" x="122"/>
        <item m="1" x="410"/>
        <item m="1" x="705"/>
        <item m="1" x="1007"/>
        <item m="1" x="1303"/>
        <item m="1" x="1600"/>
        <item m="1" x="1891"/>
        <item m="1" x="2178"/>
        <item m="1" x="156"/>
        <item m="1" x="445"/>
        <item m="1" x="740"/>
        <item m="1" x="1336"/>
        <item m="1" x="1631"/>
        <item m="1" x="1928"/>
        <item m="1" x="2217"/>
        <item m="1" x="189"/>
        <item m="1" x="481"/>
        <item m="1" x="1375"/>
        <item m="1" x="1668"/>
        <item m="1" x="225"/>
        <item m="1" x="815"/>
        <item m="1" x="1115"/>
        <item m="1" x="1707"/>
        <item m="1" x="738"/>
        <item m="1" x="797"/>
        <item m="1" x="1435"/>
        <item m="1" x="1509"/>
        <item m="1" x="1749"/>
        <item m="1" x="1948"/>
        <item m="1" x="525"/>
        <item m="1" x="1353"/>
        <item m="1" x="470"/>
        <item m="1" x="1059"/>
        <item x="0"/>
        <item m="1" x="1228"/>
        <item m="1" x="188"/>
        <item m="1" x="2113"/>
        <item m="1" x="18"/>
        <item m="1" x="598"/>
        <item m="1" x="1194"/>
        <item m="1" x="16"/>
        <item m="1" x="1675"/>
        <item m="1" x="2183"/>
        <item m="1" x="2185"/>
        <item m="1" x="2256"/>
        <item m="1" x="83"/>
        <item m="1" x="978"/>
        <item m="1" x="453"/>
        <item m="1" x="50"/>
        <item m="1" x="2294"/>
        <item m="1" x="631"/>
        <item m="1" x="1231"/>
        <item m="1" x="222"/>
        <item m="1" x="121"/>
        <item m="1" x="1965"/>
        <item m="1" x="1267"/>
        <item m="1" x="224"/>
        <item m="1" x="153"/>
        <item m="1" x="667"/>
        <item m="1" x="1408"/>
        <item m="1" x="1477"/>
        <item m="1" x="331"/>
        <item m="1" x="774"/>
        <item m="1" x="888"/>
        <item m="1" x="1302"/>
        <item m="1" x="1033"/>
        <item m="1" x="1335"/>
        <item m="1" x="1926"/>
        <item m="1" x="1512"/>
        <item m="1" x="813"/>
        <item m="1" x="1853"/>
        <item m="1" x="1890"/>
        <item m="1" x="1374"/>
        <item m="1" x="2064"/>
        <item m="1" x="1587"/>
        <item m="1" x="155"/>
        <item m="1" x="737"/>
        <item m="1" x="295"/>
        <item m="1" x="1441"/>
        <item m="1" x="1998"/>
        <item m="1" x="397"/>
        <item m="1" x="1817"/>
        <item m="1" x="925"/>
        <item m="1" x="2097"/>
        <item m="1" x="363"/>
        <item m="1" x="962"/>
        <item m="1" x="1550"/>
        <item m="1" x="1621"/>
        <item m="1" x="1032"/>
        <item m="1" x="2166"/>
        <item m="1" x="433"/>
        <item m="1" x="1371"/>
        <item m="1" x="469"/>
        <item m="1" x="1103"/>
        <item m="1" x="2258"/>
        <item m="1" x="1122"/>
        <item m="1" x="293"/>
        <item m="1" x="1068"/>
        <item m="1" x="1584"/>
        <item m="1" x="1653"/>
        <item m="1" x="1726"/>
        <item m="1" x="1795"/>
        <item m="1" x="1866"/>
        <item m="1" x="1941"/>
        <item m="1" x="2010"/>
        <item m="1" x="258"/>
        <item m="1" x="850"/>
        <item m="1" x="1444"/>
        <item m="1" x="2204"/>
        <item m="1" x="1656"/>
        <item m="1" x="505"/>
        <item m="1" x="1693"/>
        <item m="1" x="2311"/>
        <item m="1" x="1427"/>
        <item m="1" x="2276"/>
        <item m="1" x="542"/>
        <item m="1" x="68"/>
        <item m="1" x="184"/>
        <item m="1" x="327"/>
        <item m="1" x="2240"/>
        <item m="1" x="1179"/>
        <item m="1" x="1762"/>
        <item m="1" x="33"/>
        <item m="1" x="614"/>
        <item m="1" x="1212"/>
        <item m="1" x="1798"/>
        <item m="1" x="683"/>
        <item m="1" x="1000"/>
        <item m="1" x="1143"/>
        <item m="1" x="578"/>
        <item m="1" x="1833"/>
        <item m="1" x="103"/>
        <item m="1" x="1869"/>
        <item m="1" x="137"/>
        <item m="1" x="718"/>
        <item m="1" x="1319"/>
        <item m="1" x="1906"/>
        <item m="1" x="172"/>
        <item m="1" x="753"/>
        <item m="1" x="1356"/>
        <item m="1" x="1944"/>
        <item m="1" x="207"/>
        <item m="1" x="2220"/>
        <item m="1" x="393"/>
        <item m="1" x="465"/>
        <item m="1" x="538"/>
        <item m="1" x="610"/>
        <item m="1" x="1284"/>
        <item m="1" x="790"/>
        <item m="1" x="1980"/>
        <item m="1" x="1392"/>
        <item m="1" x="829"/>
        <item m="1" x="1426"/>
        <item m="1" x="241"/>
        <item m="1" x="903"/>
        <item m="1" x="1496"/>
        <item m="1" x="1462"/>
        <item m="1" x="2046"/>
        <item m="1" x="313"/>
        <item m="1" x="2079"/>
        <item m="1" x="349"/>
        <item m="1" x="380"/>
        <item m="1" x="2013"/>
        <item m="1" x="276"/>
        <item m="1" x="866"/>
        <item m="1" x="1533"/>
        <item m="1" x="2114"/>
        <item m="1" x="2148"/>
        <item m="1" x="2184"/>
        <item m="1" x="1568"/>
        <item m="1" x="2223"/>
        <item m="1" x="974"/>
        <item m="1" x="1044"/>
        <item m="1" x="488"/>
        <item m="1" x="977"/>
        <item m="1" x="1011"/>
        <item m="1" x="825"/>
        <item m="1" x="900"/>
        <item m="1" x="941"/>
        <item m="1" x="1638"/>
        <item m="1" x="1083"/>
        <item m="1" x="680"/>
        <item m="1" x="1116"/>
        <item m="1" x="1606"/>
        <item m="1" x="1674"/>
        <item m="1" x="452"/>
        <item m="1" x="2293"/>
        <item m="1" x="1330"/>
        <item m="1" x="560"/>
        <item m="1" x="1745"/>
        <item m="1" x="596"/>
        <item m="1" x="49"/>
        <item m="1" x="2290"/>
        <item m="1" x="1320"/>
        <item m="1" x="1251"/>
        <item m="1" x="1889"/>
        <item m="1" x="1714"/>
        <item m="1" x="1544"/>
        <item m="1" x="1852"/>
        <item m="1" x="154"/>
        <item m="1" x="1334"/>
        <item m="1" x="1925"/>
        <item m="1" x="187"/>
        <item m="1" x="120"/>
        <item m="1" x="702"/>
        <item m="1" x="1301"/>
        <item m="1" x="736"/>
        <item m="1" x="1159"/>
        <item m="1" x="771"/>
        <item m="1" x="1997"/>
        <item m="1" x="1230"/>
        <item m="1" x="17"/>
        <item m="1" x="84"/>
        <item m="1" x="665"/>
        <item m="1" x="1407"/>
        <item m="1" x="257"/>
        <item m="1" x="1816"/>
        <item m="1" x="1188"/>
        <item m="1" x="1266"/>
        <item m="1" x="1615"/>
        <item m="1" x="1586"/>
        <item m="1" x="432"/>
        <item m="1" x="2041"/>
        <item m="1" x="2106"/>
        <item m="1" x="1443"/>
        <item m="1" x="2032"/>
        <item m="1" x="1030"/>
        <item m="1" x="1900"/>
        <item m="1" x="886"/>
        <item m="1" x="1476"/>
        <item m="1" x="2096"/>
        <item m="1" x="362"/>
        <item m="1" x="396"/>
        <item m="1" x="998"/>
        <item m="1" x="2165"/>
        <item m="1" x="960"/>
        <item m="1" x="491"/>
        <item m="1" x="2063"/>
        <item m="1" x="330"/>
        <item m="1" x="923"/>
        <item m="1" x="1511"/>
        <item m="1" x="1262"/>
        <item m="1" x="1687"/>
        <item m="1" x="1975"/>
        <item m="1" x="1620"/>
        <item m="1" x="2203"/>
        <item m="1" x="217"/>
        <item m="1" x="1549"/>
        <item m="1" x="417"/>
        <item m="1" x="1827"/>
        <item m="1" x="468"/>
        <item m="1" x="147"/>
        <item m="1" x="294"/>
        <item m="1" x="1655"/>
        <item m="1" x="1784"/>
        <item m="1" x="1066"/>
        <item m="1" x="2239"/>
        <item m="1" x="1193"/>
        <item m="1" x="629"/>
        <item m="1" x="504"/>
        <item m="1" x="1101"/>
        <item m="1" x="2275"/>
        <item m="1" x="577"/>
        <item m="1" x="1761"/>
        <item m="1" x="846"/>
        <item m="1" x="541"/>
        <item m="1" x="1141"/>
        <item m="1" x="1728"/>
        <item m="1" x="1692"/>
        <item m="1" x="613"/>
        <item m="1" x="426"/>
        <item m="1" x="1781"/>
        <item m="1" x="1373"/>
        <item m="1" x="223"/>
        <item m="1" x="811"/>
        <item m="1" x="2133"/>
        <item m="1" x="1177"/>
        <item m="1" x="1964"/>
        <item m="1" x="571"/>
        <item m="1" x="287"/>
        <item m="1" x="1210"/>
        <item m="1" x="1797"/>
        <item m="1" x="772"/>
        <item m="1" x="2176"/>
        <item m="1" x="2257"/>
        <item m="1" x="524"/>
        <item m="1" x="1121"/>
        <item m="1" x="67"/>
        <item m="1" x="32"/>
        <item m="1" x="1832"/>
        <item m="1" x="46"/>
        <item m="1" x="117"/>
        <item m="1" x="136"/>
        <item m="1" x="664"/>
        <item m="1" x="2251"/>
        <item m="1" x="10"/>
        <item m="1" x="77"/>
        <item m="1" x="646"/>
        <item m="1" x="1249"/>
        <item m="1" x="1868"/>
        <item m="1" x="717"/>
        <item m="1" x="828"/>
        <item m="1" x="860"/>
        <item m="1" x="102"/>
        <item m="1" x="682"/>
        <item m="1" x="1282"/>
        <item m="1" x="1905"/>
        <item m="1" x="171"/>
        <item m="1" x="212"/>
        <item m="1" x="240"/>
        <item m="1" x="640"/>
        <item m="1" x="713"/>
        <item m="1" x="752"/>
        <item m="1" x="1354"/>
        <item m="1" x="1943"/>
        <item m="1" x="206"/>
        <item m="1" x="789"/>
        <item m="1" x="1390"/>
        <item m="1" x="1979"/>
        <item m="1" x="934"/>
        <item m="1" x="865"/>
        <item m="1" x="1460"/>
        <item m="1" x="1424"/>
        <item m="1" x="2012"/>
        <item m="1" x="275"/>
        <item m="1" x="1005"/>
        <item m="1" x="2045"/>
        <item m="1" x="902"/>
        <item m="1" x="1494"/>
        <item m="1" x="2078"/>
        <item m="1" x="1048"/>
        <item m="1" x="940"/>
        <item m="1" x="2112"/>
        <item m="1" x="1636"/>
        <item m="1" x="1152"/>
        <item m="1" x="348"/>
        <item m="1" x="1531"/>
        <item m="1" x="1743"/>
        <item m="1" x="595"/>
        <item m="1" x="2222"/>
        <item m="1" x="379"/>
        <item m="1" x="976"/>
        <item m="1" x="1566"/>
        <item m="1" x="2147"/>
        <item m="1" x="416"/>
        <item m="1" x="1010"/>
        <item m="1" x="1604"/>
        <item m="1" x="2292"/>
        <item m="1" x="559"/>
        <item m="1" x="487"/>
        <item m="1" x="1082"/>
        <item m="1" x="1672"/>
        <item m="1" x="2255"/>
        <item m="1" x="15"/>
        <item m="1" x="1192"/>
        <item m="1" x="48"/>
        <item m="1" x="628"/>
        <item m="1" x="2182"/>
        <item m="1" x="451"/>
        <item m="1" x="1158"/>
        <item m="1" x="1779"/>
        <item m="1" x="1294"/>
        <item m="1" x="1366"/>
        <item m="1" x="1229"/>
        <item m="1" x="663"/>
        <item m="1" x="82"/>
        <item m="1" x="1436"/>
        <item m="1" x="523"/>
        <item m="1" x="1712"/>
        <item m="1" x="1850"/>
        <item m="1" x="1814"/>
        <item m="1" x="119"/>
        <item m="1" x="1300"/>
        <item m="1" x="152"/>
        <item m="1" x="735"/>
        <item m="1" x="186"/>
        <item m="1" x="1333"/>
        <item m="1" x="1222"/>
        <item m="1" x="1887"/>
        <item m="1" x="1372"/>
        <item m="1" x="1722"/>
        <item m="1" x="770"/>
        <item m="1" x="1265"/>
        <item m="1" x="1935"/>
        <item m="1" x="1406"/>
        <item m="1" x="1578"/>
        <item m="1" x="2005"/>
        <item m="1" x="2071"/>
        <item m="1" x="221"/>
        <item m="1" x="1995"/>
        <item m="1" x="1789"/>
        <item m="1" x="1860"/>
        <item m="1" x="1962"/>
        <item m="1" x="849"/>
        <item m="1" x="701"/>
        <item m="1" x="810"/>
        <item m="1" x="1442"/>
        <item m="1" x="2061"/>
        <item m="1" x="292"/>
        <item m="1" x="256"/>
        <item m="1" x="1510"/>
        <item m="1" x="329"/>
        <item m="1" x="885"/>
        <item m="1" x="1475"/>
        <item m="1" x="2094"/>
        <item m="1" x="2285"/>
        <item m="1" x="2213"/>
        <item m="1" x="2030"/>
        <item m="1" x="395"/>
        <item m="1" x="1077"/>
        <item m="1" x="322"/>
        <item m="1" x="959"/>
        <item m="1" x="2131"/>
        <item m="1" x="922"/>
        <item m="1" x="997"/>
        <item m="1" x="431"/>
        <item m="1" x="1029"/>
        <item m="1" x="2201"/>
        <item m="1" x="467"/>
        <item m="1" x="675"/>
        <item m="1" x="2163"/>
        <item m="1" x="1065"/>
        <item m="1" x="1654"/>
        <item m="1" x="1691"/>
        <item m="1" x="1585"/>
        <item m="1" x="1548"/>
        <item m="1" x="1619"/>
        <item m="1" x="745"/>
        <item m="1" x="2273"/>
        <item m="1" x="1120"/>
        <item m="1" x="821"/>
        <item m="1" x="540"/>
        <item m="1" x="2309"/>
        <item m="1" x="1727"/>
        <item m="1" x="2237"/>
        <item m="1" x="503"/>
        <item m="1" x="1100"/>
        <item m="1" x="1760"/>
        <item m="1" x="1176"/>
        <item m="1" x="612"/>
        <item m="1" x="30"/>
        <item m="1" x="894"/>
        <item m="1" x="968"/>
        <item m="1" x="1209"/>
        <item m="1" x="645"/>
        <item m="1" x="1248"/>
        <item m="1" x="1831"/>
        <item m="1" x="100"/>
        <item m="1" x="65"/>
        <item m="1" x="1039"/>
        <item m="1" x="1867"/>
        <item m="1" x="681"/>
        <item m="1" x="1110"/>
        <item m="1" x="1796"/>
        <item m="1" x="134"/>
        <item m="1" x="576"/>
        <item m="1" x="1140"/>
        <item m="1" x="238"/>
        <item m="1" x="1423"/>
        <item m="1" x="2011"/>
        <item m="1" x="827"/>
        <item m="1" x="273"/>
        <item m="1" x="1257"/>
        <item m="1" x="1184"/>
        <item m="1" x="1459"/>
        <item m="1" x="1493"/>
        <item m="1" x="864"/>
        <item m="1" x="1539"/>
        <item m="1" x="1318"/>
        <item m="1" x="1904"/>
        <item m="1" x="169"/>
        <item m="1" x="751"/>
        <item m="1" x="1352"/>
        <item m="1" x="1942"/>
        <item m="1" x="204"/>
        <item m="1" x="788"/>
        <item m="1" x="1389"/>
        <item m="1" x="1978"/>
        <item m="1" x="939"/>
        <item m="1" x="346"/>
        <item m="1" x="2077"/>
        <item m="1" x="311"/>
        <item m="1" x="1398"/>
        <item m="1" x="1281"/>
        <item m="1" x="1530"/>
        <item m="1" x="1612"/>
        <item m="1" x="2044"/>
        <item m="1" x="1752"/>
        <item m="1" x="1648"/>
        <item m="1" x="1895"/>
        <item m="1" x="1970"/>
        <item m="1" x="1682"/>
        <item m="1" x="213"/>
        <item m="1" x="2146"/>
        <item m="1" x="414"/>
        <item m="1" x="1009"/>
        <item m="1" x="377"/>
        <item m="1" x="387"/>
        <item m="1" x="460"/>
        <item m="1" x="1823"/>
        <item m="1" x="2181"/>
        <item m="1" x="2221"/>
        <item m="1" x="449"/>
        <item m="1" x="354"/>
        <item m="1" x="111"/>
        <item m="1" x="635"/>
        <item m="1" x="485"/>
        <item m="1" x="421"/>
        <item m="1" x="566"/>
        <item m="1" x="283"/>
        <item m="1" x="1923"/>
        <item m="1" x="1047"/>
        <item m="1" x="1635"/>
        <item m="1" x="1671"/>
        <item m="1" x="521"/>
        <item m="1" x="1742"/>
        <item m="1" x="1119"/>
        <item m="1" x="2254"/>
        <item m="1" x="14"/>
        <item m="1" x="1643"/>
        <item m="1" x="594"/>
        <item m="1" x="557"/>
        <item m="1" x="1719"/>
        <item m="1" x="1157"/>
        <item m="1" x="1711"/>
        <item m="1" x="1856"/>
        <item m="1" x="1073"/>
        <item m="1" x="1148"/>
        <item m="1" x="1217"/>
        <item m="1" x="1289"/>
        <item m="1" x="1361"/>
        <item m="1" x="1430"/>
        <item m="1" x="1500"/>
        <item m="1" x="1573"/>
        <item m="1" x="1191"/>
        <item m="1" x="1778"/>
        <item m="1" x="47"/>
        <item m="1" x="2291"/>
        <item m="1" x="1227"/>
        <item m="1" x="1813"/>
        <item m="1" x="661"/>
        <item m="1" x="81"/>
        <item m="1" x="118"/>
        <item m="1" x="1849"/>
        <item m="1" x="929"/>
        <item m="1" x="1930"/>
        <item m="1" x="1922"/>
        <item m="1" x="1886"/>
        <item m="1" x="626"/>
        <item m="1" x="2111"/>
        <item m="1" x="699"/>
        <item m="1" x="185"/>
        <item m="1" x="151"/>
        <item m="1" x="1405"/>
        <item m="1" x="779"/>
        <item m="1" x="855"/>
        <item m="1" x="1299"/>
        <item m="1" x="2029"/>
        <item m="1" x="1474"/>
        <item m="1" x="2244"/>
        <item m="1" x="2280"/>
        <item m="1" x="3"/>
        <item m="1" x="37"/>
        <item m="1" x="106"/>
        <item m="1" x="140"/>
        <item m="1" x="255"/>
        <item m="1" x="291"/>
        <item m="1" x="883"/>
        <item m="1" x="768"/>
        <item m="1" x="644"/>
        <item m="1" x="847"/>
        <item m="1" x="209"/>
        <item m="1" x="1994"/>
        <item m="1" x="1961"/>
        <item m="1" x="220"/>
        <item m="1" x="733"/>
        <item m="1" x="2060"/>
        <item m="1" x="808"/>
        <item m="1" x="328"/>
        <item m="1" x="920"/>
        <item m="1" x="71"/>
        <item m="1" x="394"/>
        <item m="1" x="317"/>
        <item m="1" x="2137"/>
        <item m="1" x="2170"/>
        <item m="1" x="1583"/>
        <item m="1" x="280"/>
        <item m="1" x="1547"/>
        <item m="1" x="2162"/>
        <item m="1" x="995"/>
        <item m="1" x="1618"/>
        <item m="1" x="2200"/>
        <item m="1" x="361"/>
        <item m="1" x="466"/>
        <item m="1" x="1652"/>
        <item m="1" x="245"/>
        <item m="1" x="351"/>
        <item m="1" x="382"/>
        <item m="1" x="2093"/>
        <item m="1" x="2236"/>
        <item m="1" x="2272"/>
        <item m="1" x="539"/>
        <item m="1" x="1138"/>
        <item m="1" x="1690"/>
        <item m="1" x="2308"/>
        <item m="1" x="575"/>
        <item m="1" x="1174"/>
        <item m="1" x="1098"/>
        <item m="1" x="2208"/>
        <item m="1" x="502"/>
        <item m="1" x="456"/>
        <item m="1" x="493"/>
        <item m="1" x="1508"/>
        <item m="1" x="1759"/>
        <item m="1" x="1247"/>
        <item m="1" x="1794"/>
        <item m="1" x="1830"/>
        <item m="1" x="29"/>
        <item m="1" x="430"/>
        <item m="1" x="1027"/>
        <item m="1" x="528"/>
        <item m="1" x="133"/>
        <item m="1" x="1070"/>
        <item m="1" x="611"/>
        <item m="1" x="1207"/>
        <item m="1" x="1903"/>
        <item m="1" x="1316"/>
        <item m="1" x="1105"/>
        <item m="1" x="1145"/>
        <item m="1" x="1181"/>
        <item m="1" x="1214"/>
        <item m="1" x="1286"/>
        <item m="1" x="1322"/>
        <item m="1" x="1865"/>
        <item m="1" x="1358"/>
        <item m="1" x="1940"/>
        <item m="1" x="203"/>
        <item m="1" x="716"/>
        <item m="1" x="1350"/>
        <item m="1" x="1063"/>
        <item m="1" x="1977"/>
        <item m="1" x="957"/>
        <item m="1" x="1498"/>
        <item m="1" x="1535"/>
        <item m="1" x="1570"/>
        <item m="1" x="1608"/>
        <item m="1" x="1387"/>
        <item m="1" x="787"/>
        <item m="1" x="826"/>
        <item m="1" x="563"/>
        <item m="1" x="601"/>
        <item m="1" x="633"/>
        <item m="1" x="670"/>
        <item m="1" x="706"/>
        <item m="1" x="741"/>
        <item m="1" x="776"/>
        <item m="1" x="816"/>
        <item m="1" x="852"/>
        <item m="1" x="1393"/>
        <item m="1" x="1640"/>
        <item m="1" x="1782"/>
        <item m="1" x="1491"/>
        <item m="1" x="2076"/>
        <item m="1" x="1677"/>
        <item m="1" x="1716"/>
        <item m="1" x="1747"/>
        <item m="1" x="1818"/>
        <item m="1" x="2009"/>
        <item m="1" x="1927"/>
        <item m="1" x="237"/>
        <item m="1" x="310"/>
        <item m="1" x="901"/>
        <item m="1" x="2109"/>
        <item m="1" x="1527"/>
        <item m="1" x="375"/>
        <item m="1" x="345"/>
        <item m="1" x="1999"/>
        <item m="1" x="2033"/>
        <item m="1" x="2065"/>
        <item m="1" x="2098"/>
        <item m="1" x="2135"/>
        <item m="1" x="1966"/>
        <item m="1" x="208"/>
        <item m="1" x="1421"/>
        <item m="1" x="1563"/>
        <item m="1" x="483"/>
        <item m="1" x="1117"/>
        <item m="1" x="1155"/>
        <item m="1" x="243"/>
        <item m="1" x="555"/>
        <item m="1" x="938"/>
        <item m="1" x="519"/>
        <item m="1" x="278"/>
        <item m="1" x="315"/>
        <item m="1" x="350"/>
        <item m="1" x="454"/>
        <item m="1" x="490"/>
        <item m="1" x="1775"/>
        <item m="1" x="2144"/>
        <item m="1" x="1669"/>
        <item m="1" x="2252"/>
        <item m="1" x="592"/>
        <item m="1" x="599"/>
        <item m="1" x="12"/>
        <item m="1" x="2168"/>
        <item m="1" x="2206"/>
        <item m="1" x="2242"/>
        <item m="1" x="2278"/>
        <item m="1" x="1"/>
        <item m="1" x="35"/>
        <item m="1" x="69"/>
        <item m="1" x="1225"/>
        <item m="1" x="44"/>
        <item m="1" x="115"/>
        <item m="1" x="1189"/>
        <item m="1" x="2218"/>
        <item m="1" x="1846"/>
        <item m="1" x="1632"/>
        <item m="1" x="412"/>
        <item m="1" x="1601"/>
        <item m="1" x="2179"/>
        <item m="1" x="1080"/>
        <item m="1" x="1883"/>
        <item m="1" x="668"/>
        <item m="1" x="1045"/>
        <item m="1" x="447"/>
        <item m="1" x="1008"/>
        <item m="1" x="697"/>
        <item m="1" x="182"/>
        <item m="1" x="1297"/>
        <item m="1" x="2288"/>
        <item m="1" x="704"/>
        <item m="1" x="739"/>
        <item m="1" x="775"/>
        <item m="1" x="814"/>
        <item m="1" x="851"/>
        <item m="1" x="889"/>
        <item m="1" x="926"/>
        <item m="1" x="963"/>
        <item m="1" x="1034"/>
        <item m="1" x="1069"/>
        <item m="1" x="1104"/>
        <item m="1" x="1144"/>
        <item m="1" x="1180"/>
        <item m="1" x="1213"/>
        <item m="1" x="1285"/>
        <item m="1" x="1252"/>
        <item m="1" x="1321"/>
        <item m="1" x="1403"/>
        <item m="1" x="1919"/>
        <item m="1" x="806"/>
        <item m="1" x="149"/>
        <item m="1" x="731"/>
        <item m="1" x="1331"/>
        <item m="1" x="1263"/>
        <item m="1" x="79"/>
        <item m="1" x="1810"/>
        <item m="1" x="1357"/>
        <item m="1" x="1992"/>
        <item m="1" x="253"/>
        <item m="1" x="1463"/>
        <item m="1" x="844"/>
        <item m="1" x="2198"/>
        <item m="1" x="219"/>
        <item m="1" x="1439"/>
        <item m="1" x="2026"/>
        <item m="1" x="1497"/>
        <item m="1" x="1746"/>
        <item m="1" x="1534"/>
        <item m="1" x="2205"/>
        <item m="1" x="2241"/>
        <item m="1" x="2277"/>
        <item m="1" x="1958"/>
        <item m="1" x="766"/>
        <item m="1" x="1639"/>
        <item m="1" x="2134"/>
        <item m="1" x="1369"/>
        <item m="1" x="289"/>
        <item m="1" x="1607"/>
        <item m="1" x="1676"/>
        <item m="1" x="173"/>
        <item m="1" x="1715"/>
        <item m="1" x="34"/>
        <item m="1" x="464"/>
        <item m="1" x="2167"/>
        <item m="1" x="500"/>
        <item m="1" x="1569"/>
        <item m="1" x="1688"/>
        <item m="1" x="1096"/>
        <item m="1" x="2312"/>
        <item m="1" x="242"/>
        <item m="1" x="138"/>
        <item m="1" x="881"/>
        <item m="1" x="1472"/>
        <item m="1" x="2057"/>
        <item m="1" x="326"/>
        <item m="1" x="918"/>
        <item m="1" x="1506"/>
        <item m="1" x="2090"/>
        <item m="1" x="359"/>
        <item m="1" x="955"/>
        <item m="1" x="1545"/>
        <item m="1" x="2128"/>
        <item m="1" x="391"/>
        <item m="1" x="993"/>
        <item m="1" x="1581"/>
        <item m="1" x="2160"/>
        <item m="1" x="428"/>
        <item m="1" x="1025"/>
        <item m="1" x="1616"/>
        <item m="1" x="2305"/>
        <item m="1" x="1863"/>
        <item m="1" x="277"/>
        <item m="1" x="104"/>
        <item m="1" x="314"/>
        <item m="1" x="1757"/>
        <item m="1" x="1724"/>
        <item m="1" x="1136"/>
        <item m="1" x="1172"/>
        <item m="1" x="2270"/>
        <item m="1" x="26"/>
        <item m="1" x="608"/>
        <item m="1" x="1792"/>
        <item m="1" x="62"/>
        <item m="1" x="642"/>
        <item m="1" x="1245"/>
        <item m="1" x="1828"/>
        <item m="1" x="97"/>
        <item m="1" x="1061"/>
        <item m="1" x="1650"/>
        <item m="1" x="526"/>
        <item m="1" x="1279"/>
        <item m="1" x="679"/>
        <item m="1" x="200"/>
        <item m="1" x="1385"/>
        <item m="1" x="597"/>
        <item m="1" x="630"/>
        <item m="1" x="561"/>
        <item m="1" x="1901"/>
        <item m="1" x="2234"/>
        <item m="1" x="785"/>
        <item m="1" x="168"/>
        <item m="1" x="749"/>
        <item m="1" x="573"/>
        <item m="1" x="1938"/>
        <item m="1" x="1348"/>
        <item m="1" x="489"/>
        <item m="1" x="1456"/>
        <item m="1" x="703"/>
        <item m="1" x="924"/>
        <item m="1" x="2042"/>
        <item m="1" x="2007"/>
        <item m="1" x="270"/>
        <item m="1" x="887"/>
        <item m="1" x="666"/>
        <item m="1" x="2074"/>
        <item m="1" x="342"/>
        <item m="1" x="823"/>
        <item m="1" x="2107"/>
        <item m="1" x="936"/>
        <item m="1" x="1525"/>
        <item m="1" x="961"/>
        <item m="1" x="307"/>
        <item m="1" x="898"/>
        <item m="1" x="1489"/>
        <item m="1" x="999"/>
        <item m="1" x="1031"/>
        <item m="1" x="1067"/>
        <item m="1" x="1102"/>
        <item m="1" x="972"/>
        <item m="1" x="1142"/>
        <item m="1" x="1355"/>
        <item m="1" x="1391"/>
        <item m="1" x="1425"/>
        <item m="1" x="536"/>
        <item m="1" x="409"/>
        <item m="1" x="372"/>
        <item m="1" x="1599"/>
        <item m="1" x="444"/>
        <item m="1" x="862"/>
        <item m="1" x="1495"/>
        <item m="1" x="1532"/>
        <item m="1" x="1567"/>
        <item m="1" x="1637"/>
        <item m="1" x="2177"/>
        <item m="1" x="1043"/>
        <item m="1" x="2216"/>
        <item m="1" x="1114"/>
        <item m="1" x="517"/>
        <item m="1" x="1605"/>
        <item m="1" x="1673"/>
        <item m="1" x="480"/>
        <item m="1" x="1079"/>
        <item m="1" x="1667"/>
        <item m="1" x="1630"/>
        <item m="1" x="553"/>
        <item m="1" x="1154"/>
        <item m="1" x="1851"/>
        <item m="1" x="1178"/>
        <item m="1" x="1996"/>
        <item m="1" x="1963"/>
        <item m="1" x="2132"/>
        <item m="1" x="2095"/>
        <item m="1" x="1924"/>
        <item m="1" x="11"/>
        <item m="1" x="1461"/>
        <item m="1" x="1774"/>
        <item m="1" x="2062"/>
        <item m="1" x="2274"/>
        <item m="1" x="1744"/>
        <item m="1" x="1780"/>
        <item m="1" x="2202"/>
        <item m="1" x="2310"/>
        <item m="1" x="2031"/>
        <item m="1" x="1739"/>
        <item m="1" x="43"/>
        <item m="1" x="2164"/>
        <item m="1" x="2238"/>
        <item m="1" x="1708"/>
        <item m="1" x="31"/>
        <item m="1" x="773"/>
        <item m="1" x="812"/>
        <item m="1" x="590"/>
        <item m="1" x="239"/>
        <item m="1" x="764"/>
        <item m="1" x="730"/>
        <item m="1" x="66"/>
        <item m="1" x="1882"/>
        <item m="1" x="1224"/>
        <item m="1" x="1261"/>
        <item m="1" x="1845"/>
        <item m="1" x="78"/>
        <item m="1" x="658"/>
        <item m="1" x="252"/>
        <item m="1" x="101"/>
        <item m="1" x="135"/>
        <item m="1" x="695"/>
        <item m="1" x="114"/>
        <item m="1" x="1991"/>
        <item m="1" x="1402"/>
        <item m="1" x="522"/>
        <item m="1" x="558"/>
        <item m="1" x="1438"/>
        <item m="1" x="218"/>
        <item m="1" x="804"/>
        <item m="1" x="842"/>
        <item m="1" x="148"/>
        <item m="1" x="1957"/>
        <item m="1" x="2025"/>
        <item m="1" x="1283"/>
        <item m="1" x="1713"/>
        <item m="1" x="1250"/>
        <item m="1" x="325"/>
        <item m="1" x="2056"/>
        <item m="1" x="378"/>
        <item m="1" x="486"/>
        <item m="1" x="450"/>
        <item m="1" x="415"/>
        <item m="1" x="347"/>
        <item m="1" x="312"/>
        <item m="1" x="1368"/>
        <item m="1" x="809"/>
        <item m="1" x="848"/>
        <item m="1" x="1296"/>
        <item m="1" x="1329"/>
        <item m="1" x="1918"/>
        <item m="1" x="1211"/>
        <item m="1" x="1815"/>
        <item m="1" x="274"/>
        <item m="1" x="288"/>
        <item m="1" x="879"/>
        <item m="1" x="181"/>
        <item m="1" x="916"/>
        <item m="1" x="390"/>
        <item m="1" x="734"/>
        <item m="1" x="769"/>
        <item m="1" x="1543"/>
        <item m="1" x="884"/>
        <item m="1" x="1505"/>
        <item m="1" x="1471"/>
        <item m="1" x="2089"/>
        <item m="1" x="427"/>
        <item m="1" x="953"/>
        <item m="1" x="2159"/>
        <item m="1" x="358"/>
        <item m="1" x="921"/>
        <item m="1" x="1023"/>
        <item m="1" x="2127"/>
        <item m="1" x="958"/>
        <item m="1" x="996"/>
        <item m="1" x="1028"/>
        <item m="1" x="1064"/>
        <item m="1" x="1422"/>
        <item m="1" x="1134"/>
        <item m="1" x="1170"/>
        <item m="1" x="1888"/>
        <item m="1" x="170"/>
        <item m="1" x="205"/>
        <item m="1" x="1208"/>
        <item m="1" x="627"/>
        <item m="1" x="662"/>
        <item m="1" x="700"/>
        <item m="1" x="1351"/>
        <item m="1" x="1458"/>
        <item m="1" x="1580"/>
        <item m="1" x="1139"/>
        <item m="1" x="1094"/>
        <item m="1" x="1756"/>
        <item m="1" x="2197"/>
        <item m="1" x="463"/>
        <item m="1" x="913"/>
        <item m="1" x="905"/>
        <item m="1" x="945"/>
        <item m="1" x="984"/>
        <item m="1" x="991"/>
        <item m="1" x="1492"/>
        <item m="1" x="1529"/>
        <item m="1" x="1317"/>
        <item m="1" x="1706"/>
        <item m="1" x="1099"/>
        <item m="1" x="1243"/>
        <item m="1" x="1205"/>
        <item m="1" x="1686"/>
        <item m="1" x="535"/>
        <item m="1" x="572"/>
        <item m="1" x="1812"/>
        <item m="1" x="1848"/>
        <item m="1" x="1175"/>
        <item m="1" x="607"/>
        <item m="1" x="1741"/>
        <item m="1" x="1777"/>
        <item m="1" x="1791"/>
        <item m="1" x="1603"/>
        <item m="1" x="1565"/>
        <item m="1" x="61"/>
        <item m="1" x="641"/>
        <item m="1" x="1826"/>
        <item m="1" x="167"/>
        <item m="1" x="1710"/>
        <item m="1" x="1885"/>
        <item m="1" x="714"/>
        <item m="1" x="1634"/>
        <item m="1" x="96"/>
        <item m="1" x="678"/>
        <item m="1" x="1277"/>
        <item m="1" x="1862"/>
        <item m="1" x="623"/>
        <item m="1" x="748"/>
        <item m="1" x="1899"/>
        <item m="1" x="1313"/>
        <item m="1" x="130"/>
        <item m="1" x="199"/>
        <item m="1" x="784"/>
        <item m="1" x="1383"/>
        <item m="1" x="1454"/>
        <item m="1" x="2040"/>
        <item m="1" x="306"/>
        <item m="1" x="897"/>
        <item m="1" x="1487"/>
        <item m="1" x="1346"/>
        <item m="1" x="1937"/>
        <item m="1" x="861"/>
        <item m="1" x="1974"/>
        <item m="1" x="269"/>
        <item m="1" x="1560"/>
        <item m="1" x="971"/>
        <item m="1" x="371"/>
        <item m="1" x="2105"/>
        <item m="1" x="25"/>
        <item m="1" x="2092"/>
        <item m="1" x="2059"/>
        <item m="1" x="1388"/>
        <item m="1" x="2142"/>
        <item m="1" x="1960"/>
        <item m="1" x="408"/>
        <item m="1" x="1921"/>
        <item m="1" x="2161"/>
        <item m="1" x="2175"/>
        <item m="1" x="341"/>
        <item m="1" x="2130"/>
        <item m="1" x="2073"/>
        <item m="1" x="64"/>
        <item m="1" x="2307"/>
        <item m="1" x="28"/>
        <item m="1" x="935"/>
        <item m="1" x="1523"/>
        <item m="1" x="1597"/>
        <item m="1" x="1328"/>
        <item m="1" x="2028"/>
        <item m="1" x="99"/>
        <item m="1" x="132"/>
        <item m="1" x="657"/>
        <item m="1" x="1260"/>
        <item m="1" x="1843"/>
        <item m="1" x="113"/>
        <item m="1" x="694"/>
        <item m="1" x="1295"/>
        <item m="1" x="202"/>
        <item m="1" x="443"/>
        <item m="1" x="1042"/>
        <item m="1" x="1628"/>
        <item m="1" x="2215"/>
        <item m="1" x="479"/>
        <item m="1" x="1078"/>
        <item m="1" x="76"/>
        <item m="1" x="1665"/>
        <item m="1" x="2250"/>
        <item m="1" x="516"/>
        <item m="1" x="1113"/>
        <item m="1" x="1704"/>
        <item m="1" x="2287"/>
        <item m="1" x="552"/>
        <item m="1" x="1737"/>
        <item m="1" x="9"/>
        <item m="1" x="589"/>
        <item m="1" x="1187"/>
        <item m="1" x="1772"/>
        <item m="1" x="1153"/>
        <item m="1" x="42"/>
        <item m="1" x="622"/>
        <item m="1" x="1223"/>
        <item m="1" x="1808"/>
        <item m="1" x="180"/>
        <item m="1" x="1367"/>
        <item m="1" x="216"/>
        <item m="1" x="803"/>
        <item m="1" x="1006"/>
        <item m="1" x="763"/>
        <item m="1" x="146"/>
        <item m="1" x="1401"/>
        <item m="1" x="309"/>
        <item m="1" x="1880"/>
        <item m="1" x="236"/>
        <item m="1" x="841"/>
        <item m="1" x="554"/>
        <item m="1" x="591"/>
        <item m="1" x="251"/>
        <item m="1" x="2023"/>
        <item m="1" x="324"/>
        <item m="1" x="2054"/>
        <item m="1" x="411"/>
        <item m="1" x="1955"/>
        <item m="1" x="344"/>
        <item m="1" x="374"/>
        <item m="1" x="1470"/>
        <item m="1" x="915"/>
        <item m="1" x="696"/>
        <item m="1" x="805"/>
        <item m="1" x="272"/>
        <item m="1" x="765"/>
        <item m="1" x="482"/>
        <item m="1" x="518"/>
        <item m="1" x="357"/>
        <item m="1" x="878"/>
        <item m="1" x="2087"/>
        <item m="1" x="1437"/>
        <item m="1" x="1504"/>
        <item m="1" x="624"/>
        <item m="1" x="843"/>
        <item m="1" x="880"/>
        <item m="1" x="2125"/>
        <item m="1" x="389"/>
        <item m="1" x="990"/>
        <item m="1" x="1579"/>
        <item m="1" x="2157"/>
        <item m="1" x="1542"/>
        <item m="1" x="425"/>
        <item m="1" x="1022"/>
        <item m="1" x="917"/>
        <item m="1" x="659"/>
        <item m="1" x="954"/>
        <item m="1" x="1058"/>
        <item m="1" x="446"/>
        <item m="1" x="1649"/>
        <item m="1" x="952"/>
        <item m="1" x="2195"/>
        <item m="1" x="2232"/>
        <item m="1" x="462"/>
        <item m="1" x="1133"/>
        <item m="1" x="499"/>
        <item m="1" x="1093"/>
        <item m="1" x="2268"/>
        <item m="1" x="534"/>
        <item m="1" x="1723"/>
        <item m="1" x="992"/>
        <item m="1" x="2303"/>
        <item m="1" x="1060"/>
        <item m="1" x="1095"/>
        <item m="1" x="1755"/>
        <item m="1" x="606"/>
        <item m="1" x="1204"/>
        <item m="1" x="24"/>
        <item m="1" x="1206"/>
        <item m="1" x="1244"/>
        <item m="1" x="1278"/>
        <item m="1" x="1314"/>
        <item m="1" x="1024"/>
        <item m="1" x="1242"/>
        <item m="1" x="1347"/>
        <item m="1" x="1384"/>
        <item m="1" x="570"/>
        <item m="1" x="1455"/>
        <item m="1" x="1276"/>
        <item m="1" x="639"/>
        <item m="1" x="1790"/>
        <item m="1" x="59"/>
        <item m="1" x="1825"/>
        <item m="1" x="94"/>
        <item m="1" x="1861"/>
        <item m="1" x="1898"/>
        <item m="1" x="165"/>
        <item m="1" x="747"/>
        <item m="1" x="1345"/>
        <item m="1" x="1382"/>
        <item m="1" x="677"/>
        <item m="1" x="267"/>
        <item m="1" x="896"/>
        <item m="1" x="1488"/>
        <item m="1" x="197"/>
        <item m="1" x="1973"/>
        <item m="1" x="1418"/>
        <item m="1" x="2006"/>
        <item m="1" x="1936"/>
        <item m="1" x="233"/>
        <item m="1" x="1419"/>
        <item m="1" x="1169"/>
        <item m="1" x="1135"/>
        <item m="1" x="1171"/>
        <item m="1" x="859"/>
        <item m="1" x="1486"/>
        <item m="1" x="2072"/>
        <item m="1" x="339"/>
        <item m="1" x="933"/>
        <item m="1" x="1522"/>
        <item m="1" x="2104"/>
        <item m="1" x="712"/>
        <item m="1" x="1312"/>
        <item m="1" x="1629"/>
        <item m="1" x="1666"/>
        <item m="1" x="1559"/>
        <item m="1" x="1561"/>
        <item m="1" x="783"/>
        <item m="1" x="970"/>
        <item m="1" x="1844"/>
        <item m="1" x="1598"/>
        <item m="1" x="370"/>
        <item m="1" x="2039"/>
        <item m="1" x="304"/>
        <item m="1" x="1705"/>
        <item m="1" x="1738"/>
        <item m="1" x="1773"/>
        <item m="1" x="1809"/>
        <item m="1" x="1524"/>
        <item m="1" x="1956"/>
        <item m="1" x="2214"/>
        <item m="1" x="1076"/>
        <item m="1" x="1453"/>
        <item m="1" x="1041"/>
        <item m="1" x="441"/>
        <item m="1" x="1596"/>
        <item m="1" x="1685"/>
        <item m="1" x="1990"/>
        <item m="1" x="2024"/>
        <item m="1" x="477"/>
        <item m="1" x="406"/>
        <item m="1" x="2286"/>
        <item m="1" x="1881"/>
        <item m="1" x="2174"/>
        <item m="1" x="1112"/>
        <item m="1" x="2055"/>
        <item m="1" x="1917"/>
        <item m="1" x="2249"/>
        <item m="1" x="514"/>
        <item m="1" x="1614"/>
        <item m="1" x="1151"/>
        <item m="1" x="1736"/>
        <item m="1" x="1703"/>
        <item m="1" x="2126"/>
        <item m="1" x="2158"/>
        <item m="1" x="8"/>
        <item m="1" x="587"/>
        <item m="1" x="1186"/>
        <item m="1" x="1664"/>
        <item m="1" x="620"/>
        <item m="1" x="1771"/>
        <item m="1" x="2196"/>
        <item m="1" x="2233"/>
        <item m="1" x="1807"/>
        <item m="1" x="1221"/>
        <item m="1" x="1879"/>
        <item m="1" x="145"/>
        <item m="1" x="1259"/>
        <item m="1" x="1842"/>
        <item m="1" x="112"/>
        <item m="1" x="692"/>
        <item m="1" x="1293"/>
        <item m="1" x="2124"/>
        <item m="1" x="41"/>
        <item m="1" x="950"/>
        <item m="1" x="356"/>
        <item m="1" x="988"/>
        <item m="1" x="1021"/>
        <item m="1" x="2088"/>
        <item m="1" x="75"/>
        <item m="1" x="2269"/>
        <item m="1" x="2304"/>
        <item m="1" x="388"/>
        <item m="1" x="1541"/>
        <item m="1" x="1577"/>
        <item m="1" x="424"/>
        <item m="1" x="2156"/>
        <item m="1" x="60"/>
        <item m="1" x="1056"/>
        <item m="1" x="1647"/>
        <item m="1" x="2231"/>
        <item m="1" x="2302"/>
        <item m="1" x="655"/>
        <item m="1" x="1091"/>
        <item m="1" x="461"/>
        <item m="1" x="498"/>
        <item m="1" x="128"/>
        <item m="1" x="711"/>
        <item m="1" x="2194"/>
        <item m="1" x="1754"/>
        <item m="1" x="305"/>
        <item m="1" x="340"/>
        <item m="1" x="442"/>
        <item m="1" x="676"/>
        <item m="1" x="1274"/>
        <item m="1" x="569"/>
        <item m="1" x="515"/>
        <item m="1" x="1684"/>
        <item m="1" x="2267"/>
        <item m="1" x="533"/>
        <item m="1" x="1131"/>
        <item m="1" x="478"/>
        <item m="1" x="166"/>
        <item m="1" x="198"/>
        <item m="1" x="234"/>
        <item m="1" x="268"/>
        <item m="1" x="93"/>
        <item m="1" x="95"/>
        <item m="1" x="407"/>
        <item m="1" x="1934"/>
        <item m="1" x="164"/>
        <item m="1" x="1897"/>
        <item m="1" x="129"/>
        <item m="1" x="605"/>
        <item m="1" x="1202"/>
        <item m="1" x="1788"/>
        <item m="1" x="746"/>
        <item m="1" x="1167"/>
        <item m="1" x="762"/>
        <item m="1" x="729"/>
        <item m="1" x="1344"/>
        <item m="1" x="2022"/>
        <item m="1" x="876"/>
        <item m="1" x="839"/>
        <item m="1" x="912"/>
        <item m="1" x="2053"/>
        <item m="1" x="728"/>
        <item m="1" x="323"/>
        <item m="1" x="1365"/>
        <item m="1" x="286"/>
        <item m="1" x="1954"/>
        <item m="1" x="1469"/>
        <item m="1" x="215"/>
        <item m="1" x="1434"/>
        <item m="1" x="1400"/>
        <item m="1" x="1989"/>
        <item m="1" x="250"/>
        <item m="1" x="179"/>
        <item m="1" x="1327"/>
        <item m="1" x="761"/>
        <item m="1" x="1916"/>
        <item m="1" x="801"/>
        <item m="1" x="196"/>
        <item m="1" x="782"/>
        <item m="1" x="1310"/>
        <item m="1" x="58"/>
        <item m="1" x="638"/>
        <item m="1" x="1240"/>
        <item m="1" x="232"/>
        <item m="1" x="822"/>
        <item m="1" x="1416"/>
        <item m="1" x="1381"/>
        <item m="1" x="1972"/>
        <item m="1" x="2038"/>
        <item m="1" x="2004"/>
        <item m="1" x="303"/>
        <item m="1" x="802"/>
        <item m="1" x="914"/>
        <item m="1" x="2070"/>
        <item m="1" x="338"/>
        <item m="1" x="932"/>
        <item m="1" x="1520"/>
        <item m="1" x="2103"/>
        <item m="1" x="551"/>
        <item m="1" x="588"/>
        <item m="1" x="621"/>
        <item m="1" x="656"/>
        <item m="1" x="693"/>
        <item m="1" x="1484"/>
        <item m="1" x="877"/>
        <item m="1" x="969"/>
        <item m="1" x="1557"/>
        <item m="1" x="369"/>
        <item m="1" x="989"/>
        <item m="1" x="895"/>
        <item m="1" x="1594"/>
        <item m="1" x="2173"/>
        <item m="1" x="440"/>
        <item m="1" x="1040"/>
        <item m="1" x="405"/>
        <item m="1" x="951"/>
        <item m="1" x="266"/>
        <item m="1" x="1627"/>
        <item m="1" x="1241"/>
        <item m="1" x="1275"/>
        <item m="1" x="1859"/>
        <item m="1" x="476"/>
        <item m="1" x="840"/>
        <item m="1" x="2212"/>
        <item m="1" x="2248"/>
        <item m="1" x="1075"/>
        <item m="1" x="1769"/>
        <item m="1" x="1185"/>
        <item m="1" x="586"/>
        <item m="1" x="7"/>
        <item m="1" x="1734"/>
        <item m="1" x="1452"/>
        <item m="1" x="654"/>
        <item m="1" x="1258"/>
        <item m="1" x="1451"/>
        <item m="1" x="110"/>
        <item m="1" x="691"/>
        <item m="1" x="2086"/>
        <item m="1" x="1485"/>
        <item m="1" x="1521"/>
        <item m="1" x="513"/>
        <item m="1" x="1805"/>
        <item m="1" x="1662"/>
        <item m="1" x="1057"/>
        <item m="1" x="1092"/>
        <item m="1" x="1132"/>
        <item m="1" x="1168"/>
        <item m="1" x="1203"/>
        <item m="1" x="800"/>
        <item m="1" x="1399"/>
        <item m="1" x="1987"/>
        <item m="1" x="1004"/>
        <item m="1" x="178"/>
        <item m="1" x="1417"/>
        <item m="1" x="858"/>
        <item m="1" x="285"/>
        <item m="1" x="144"/>
        <item m="1" x="1558"/>
        <item m="1" x="2141"/>
        <item m="1" x="1540"/>
        <item m="1" x="249"/>
        <item m="1" x="838"/>
        <item m="1" x="1735"/>
        <item m="1" x="1770"/>
        <item m="1" x="1364"/>
        <item m="1" x="1952"/>
        <item m="1" x="1433"/>
        <item m="1" x="2020"/>
        <item m="1" x="2052"/>
        <item m="1" x="2122"/>
        <item m="1" x="2085"/>
        <item m="1" x="1914"/>
        <item m="1" x="727"/>
        <item m="1" x="1595"/>
        <item m="1" x="911"/>
        <item m="1" x="1503"/>
        <item m="1" x="386"/>
        <item m="1" x="2021"/>
        <item m="1" x="1576"/>
        <item m="1" x="1326"/>
        <item m="1" x="1201"/>
        <item m="1" x="1878"/>
        <item m="1" x="497"/>
        <item m="1" x="423"/>
        <item m="1" x="1020"/>
        <item m="1" x="1613"/>
        <item m="1" x="2192"/>
        <item m="1" x="459"/>
        <item m="1" x="1055"/>
        <item m="1" x="1311"/>
        <item m="1" x="619"/>
        <item m="1" x="1292"/>
        <item m="1" x="1646"/>
        <item m="1" x="23"/>
        <item m="1" x="604"/>
        <item m="1" x="1787"/>
        <item m="1" x="2155"/>
        <item m="1" x="1683"/>
        <item m="1" x="1721"/>
        <item m="1" x="568"/>
        <item m="1" x="1239"/>
        <item m="1" x="2265"/>
        <item m="1" x="532"/>
        <item m="1" x="1130"/>
        <item m="1" x="2300"/>
        <item m="1" x="1166"/>
        <item m="1" x="1753"/>
        <item m="1" x="1953"/>
        <item m="1" x="1988"/>
        <item m="1" x="2301"/>
        <item m="1" x="781"/>
        <item m="1" x="56"/>
        <item m="1" x="637"/>
        <item m="1" x="987"/>
        <item m="1" x="163"/>
        <item m="1" x="195"/>
        <item m="1" x="231"/>
        <item m="1" x="265"/>
        <item m="1" x="2123"/>
        <item m="1" x="1915"/>
        <item m="1" x="1663"/>
        <item m="1" x="1702"/>
        <item m="1" x="1806"/>
        <item m="1" x="1701"/>
        <item m="1" x="1877"/>
        <item m="1" x="2154"/>
        <item m="1" x="40"/>
        <item m="1" x="931"/>
        <item m="1" x="2230"/>
        <item m="1" x="2266"/>
        <item m="1" x="1483"/>
        <item m="1" x="2069"/>
        <item m="1" x="194"/>
        <item m="1" x="438"/>
        <item m="1" x="1038"/>
        <item m="1" x="893"/>
        <item m="1" x="321"/>
        <item m="1" x="875"/>
        <item m="1" x="710"/>
        <item m="1" x="1309"/>
        <item m="1" x="1896"/>
        <item m="1" x="162"/>
        <item m="1" x="744"/>
        <item m="1" x="1933"/>
        <item m="1" x="1343"/>
        <item m="1" x="1824"/>
        <item m="1" x="91"/>
        <item m="1" x="674"/>
        <item m="1" x="57"/>
        <item m="1" x="92"/>
        <item m="1" x="1380"/>
        <item m="1" x="1971"/>
        <item m="1" x="230"/>
        <item m="1" x="820"/>
        <item m="1" x="1415"/>
        <item m="1" x="2003"/>
        <item m="1" x="1111"/>
        <item m="1" x="403"/>
        <item m="1" x="301"/>
        <item m="1" x="2211"/>
        <item m="1" x="548"/>
        <item m="1" x="2284"/>
        <item m="1" x="1519"/>
        <item m="1" x="2102"/>
        <item m="1" x="368"/>
        <item m="1" x="967"/>
        <item m="1" x="1556"/>
        <item m="1" x="2140"/>
        <item m="1" x="618"/>
        <item m="1" x="2247"/>
        <item m="1" x="475"/>
        <item m="1" x="726"/>
        <item m="1" x="1733"/>
        <item m="1" x="799"/>
        <item m="1" x="1450"/>
        <item m="1" x="264"/>
        <item m="1" x="74"/>
        <item m="1" x="760"/>
        <item m="1" x="1468"/>
        <item m="1" x="1661"/>
        <item m="1" x="949"/>
        <item m="1" x="986"/>
        <item m="1" x="336"/>
        <item m="1" x="2037"/>
        <item m="1" x="1109"/>
        <item m="1" x="1019"/>
        <item m="1" x="550"/>
        <item m="1" x="404"/>
        <item m="1" x="439"/>
        <item m="1" x="109"/>
        <item m="1" x="1840"/>
        <item m="1" x="690"/>
        <item m="1" x="1841"/>
        <item m="1" x="857"/>
        <item m="1" x="2193"/>
        <item m="1" x="653"/>
        <item m="1" x="1876"/>
        <item m="1" x="1054"/>
        <item m="1" x="1090"/>
        <item m="1" x="1129"/>
        <item m="1" x="1165"/>
        <item m="1" x="1200"/>
        <item m="1" x="837"/>
        <item m="1" x="874"/>
        <item m="1" x="127"/>
        <item m="1" x="143"/>
        <item m="1" x="302"/>
        <item m="1" x="584"/>
        <item m="1" x="1183"/>
        <item m="1" x="1768"/>
        <item m="1" x="39"/>
        <item m="1" x="617"/>
        <item m="1" x="1219"/>
        <item m="1" x="1804"/>
        <item m="1" x="73"/>
        <item m="1" x="652"/>
        <item m="1" x="1256"/>
        <item m="1" x="1913"/>
        <item m="1" x="1273"/>
        <item m="1" x="948"/>
        <item m="1" x="355"/>
        <item m="1" x="1363"/>
        <item m="1" x="1700"/>
        <item m="1" x="2283"/>
        <item m="1" x="985"/>
        <item m="1" x="1575"/>
        <item m="1" x="1432"/>
        <item m="1" x="2019"/>
        <item m="1" x="284"/>
        <item m="1" x="725"/>
        <item m="1" x="320"/>
        <item m="1" x="1538"/>
        <item m="1" x="2121"/>
        <item m="1" x="2229"/>
        <item m="1" x="385"/>
        <item m="1" x="910"/>
        <item m="1" x="1238"/>
        <item m="1" x="1291"/>
        <item m="1" x="1626"/>
        <item m="1" x="248"/>
        <item m="1" x="836"/>
        <item m="1" x="873"/>
        <item m="1" x="1502"/>
        <item m="1" x="422"/>
        <item m="1" x="2084"/>
        <item m="1" x="1220"/>
        <item m="1" x="798"/>
        <item m="1" x="1397"/>
        <item m="1" x="337"/>
        <item m="1" x="585"/>
        <item m="1" x="1611"/>
        <item m="1" x="1951"/>
        <item m="1" x="214"/>
        <item m="1" x="2051"/>
        <item m="1" x="909"/>
        <item m="1" x="1467"/>
        <item m="1" x="177"/>
        <item m="1" x="759"/>
        <item m="1" x="1950"/>
        <item m="1" x="1150"/>
        <item m="1" x="512"/>
        <item m="1" x="549"/>
        <item m="1" x="1342"/>
        <item m="1" x="1379"/>
        <item m="1" x="1414"/>
        <item m="1" x="2018"/>
        <item m="1" x="2228"/>
        <item m="1" x="16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41">
        <item m="1" x="1478"/>
        <item m="1" x="1860"/>
        <item m="1" x="1377"/>
        <item m="1" x="1504"/>
        <item m="1" x="423"/>
        <item m="1" x="871"/>
        <item m="1" x="905"/>
        <item m="1" x="2030"/>
        <item m="1" x="937"/>
        <item m="1" x="2082"/>
        <item m="1" x="1376"/>
        <item m="1" x="281"/>
        <item m="1" x="735"/>
        <item m="1" x="542"/>
        <item m="1" x="1518"/>
        <item m="1" x="1654"/>
        <item m="1" x="2220"/>
        <item m="1" x="2074"/>
        <item m="1" x="49"/>
        <item m="1" x="1101"/>
        <item m="1" x="1733"/>
        <item m="1" x="1804"/>
        <item m="1" x="15"/>
        <item m="1" x="574"/>
        <item m="1" x="865"/>
        <item m="1" x="992"/>
        <item m="1" x="1024"/>
        <item m="1" x="951"/>
        <item m="1" x="558"/>
        <item m="1" x="1751"/>
        <item m="1" x="589"/>
        <item m="1" x="772"/>
        <item m="1" x="942"/>
        <item m="1" x="406"/>
        <item m="1" x="842"/>
        <item m="1" x="1995"/>
        <item m="1" x="431"/>
        <item m="1" x="503"/>
        <item m="1" x="932"/>
        <item m="1" x="1760"/>
        <item m="1" x="1803"/>
        <item m="1" x="2103"/>
        <item m="1" x="714"/>
        <item m="1" x="1505"/>
        <item m="1" x="633"/>
        <item m="1" x="468"/>
        <item m="1" x="466"/>
        <item m="1" x="1895"/>
        <item m="1" x="1935"/>
        <item m="1" x="34"/>
        <item m="1" x="2163"/>
        <item m="1" x="1714"/>
        <item m="1" x="1192"/>
        <item m="1" x="1079"/>
        <item m="1" x="804"/>
        <item m="1" x="549"/>
        <item m="1" x="481"/>
        <item m="1" x="233"/>
        <item m="1" x="646"/>
        <item m="1" x="1631"/>
        <item m="1" x="1707"/>
        <item m="1" x="763"/>
        <item m="1" x="1071"/>
        <item m="1" x="46"/>
        <item m="1" x="1174"/>
        <item m="1" x="995"/>
        <item m="1" x="1062"/>
        <item m="1" x="890"/>
        <item m="1" x="84"/>
        <item m="1" x="1835"/>
        <item m="1" x="1904"/>
        <item m="1" x="526"/>
        <item m="1" x="1501"/>
        <item m="1" x="660"/>
        <item m="1" x="1226"/>
        <item m="1" x="699"/>
        <item m="1" x="777"/>
        <item m="1" x="1966"/>
        <item m="1" x="1366"/>
        <item m="1" x="1784"/>
        <item m="1" x="2193"/>
        <item m="1" x="1566"/>
        <item m="1" x="943"/>
        <item m="1" x="2229"/>
        <item m="1" x="1043"/>
        <item m="1" x="1426"/>
        <item m="1" x="1555"/>
        <item m="1" x="838"/>
        <item m="1" x="899"/>
        <item m="1" x="1415"/>
        <item m="1" x="1383"/>
        <item m="1" x="1916"/>
        <item m="1" x="224"/>
        <item m="1" x="1302"/>
        <item m="1" x="1874"/>
        <item m="1" x="1947"/>
        <item m="1" x="429"/>
        <item m="1" x="41"/>
        <item m="1" x="1375"/>
        <item m="1" x="489"/>
        <item m="1" x="780"/>
        <item m="1" x="971"/>
        <item m="1" x="1112"/>
        <item m="1" x="447"/>
        <item m="1" x="940"/>
        <item m="1" x="1313"/>
        <item m="1" x="727"/>
        <item m="1" x="2150"/>
        <item m="1" x="2110"/>
        <item m="1" x="2180"/>
        <item m="1" x="721"/>
        <item m="1" x="603"/>
        <item m="1" x="1034"/>
        <item m="1" x="1274"/>
        <item m="1" x="256"/>
        <item m="1" x="993"/>
        <item m="1" x="1759"/>
        <item m="1" x="1797"/>
        <item m="1" x="1864"/>
        <item m="1" x="1576"/>
        <item m="1" x="416"/>
        <item m="1" x="1544"/>
        <item m="1" x="1820"/>
        <item m="1" x="147"/>
        <item m="1" x="1003"/>
        <item m="1" x="1208"/>
        <item m="1" x="1460"/>
        <item m="1" x="1975"/>
        <item m="1" x="1985"/>
        <item m="1" x="967"/>
        <item m="1" x="1058"/>
        <item m="1" x="1078"/>
        <item m="1" x="505"/>
        <item m="1" x="668"/>
        <item m="1" x="887"/>
        <item m="1" x="100"/>
        <item m="1" x="476"/>
        <item m="1" x="938"/>
        <item m="1" x="1440"/>
        <item m="1" x="741"/>
        <item m="1" x="1007"/>
        <item m="1" x="1205"/>
        <item m="1" x="99"/>
        <item m="1" x="399"/>
        <item m="1" x="859"/>
        <item m="1" x="1055"/>
        <item m="1" x="1118"/>
        <item m="1" x="2168"/>
        <item m="1" x="277"/>
        <item m="1" x="837"/>
        <item m="1" x="1301"/>
        <item m="1" x="1670"/>
        <item m="1" x="1880"/>
        <item m="1" x="2200"/>
        <item m="1" x="672"/>
        <item m="1" x="922"/>
        <item m="1" x="1031"/>
        <item m="1" x="1472"/>
        <item m="1" x="567"/>
        <item m="1" x="678"/>
        <item m="1" x="653"/>
        <item m="1" x="822"/>
        <item m="1" x="845"/>
        <item m="1" x="1552"/>
        <item m="1" x="819"/>
        <item m="1" x="1381"/>
        <item m="1" x="1056"/>
        <item m="1" x="297"/>
        <item m="1" x="674"/>
        <item m="1" x="1136"/>
        <item m="1" x="2009"/>
        <item m="1" x="1416"/>
        <item m="1" x="1515"/>
        <item m="1" x="664"/>
        <item m="1" x="1053"/>
        <item m="1" x="1919"/>
        <item m="1" x="2218"/>
        <item m="1" x="634"/>
        <item m="1" x="1187"/>
        <item m="1" x="1640"/>
        <item m="1" x="2073"/>
        <item m="1" x="614"/>
        <item m="1" x="785"/>
        <item m="1" x="1343"/>
        <item m="1" x="301"/>
        <item m="1" x="720"/>
        <item m="1" x="719"/>
        <item m="1" x="914"/>
        <item m="1" x="1404"/>
        <item m="1" x="1753"/>
        <item m="1" x="1900"/>
        <item m="1" x="231"/>
        <item m="1" x="912"/>
        <item m="1" x="1896"/>
        <item m="1" x="520"/>
        <item m="1" x="602"/>
        <item m="1" x="2049"/>
        <item m="1" x="643"/>
        <item m="1" x="889"/>
        <item m="1" x="641"/>
        <item m="1" x="1477"/>
        <item m="1" x="82"/>
        <item m="1" x="895"/>
        <item m="1" x="918"/>
        <item m="1" x="1217"/>
        <item m="1" x="1805"/>
        <item m="1" x="1765"/>
        <item m="1" x="1773"/>
        <item m="1" x="186"/>
        <item m="1" x="357"/>
        <item m="1" x="373"/>
        <item m="1" x="415"/>
        <item m="1" x="1570"/>
        <item m="1" x="2178"/>
        <item m="1" x="2223"/>
        <item m="1" x="430"/>
        <item m="1" x="973"/>
        <item m="1" x="2039"/>
        <item m="1" x="2201"/>
        <item m="1" x="153"/>
        <item m="1" x="1171"/>
        <item m="1" x="436"/>
        <item m="1" x="1444"/>
        <item m="1" x="1605"/>
        <item m="1" x="1123"/>
        <item m="1" x="1279"/>
        <item m="1" x="198"/>
        <item m="1" x="600"/>
        <item m="1" x="1025"/>
        <item m="1" x="1168"/>
        <item m="1" x="1525"/>
        <item m="1" x="160"/>
        <item m="1" x="187"/>
        <item m="1" x="1447"/>
        <item m="1" x="2187"/>
        <item m="1" x="316"/>
        <item m="1" x="879"/>
        <item m="1" x="891"/>
        <item m="1" x="1954"/>
        <item m="1" x="1005"/>
        <item m="1" x="1356"/>
        <item m="1" x="329"/>
        <item m="1" x="680"/>
        <item m="1" x="1482"/>
        <item m="1" x="66"/>
        <item m="1" x="644"/>
        <item m="1" x="679"/>
        <item m="1" x="935"/>
        <item m="1" x="628"/>
        <item m="1" x="824"/>
        <item m="1" x="2219"/>
        <item m="1" x="116"/>
        <item m="1" x="1651"/>
        <item m="1" x="1962"/>
        <item m="1" x="1345"/>
        <item m="1" x="417"/>
        <item m="1" x="722"/>
        <item m="1" x="1304"/>
        <item m="1" x="2145"/>
        <item m="1" x="207"/>
        <item m="1" x="648"/>
        <item m="1" x="734"/>
        <item m="1" x="1222"/>
        <item m="1" x="1700"/>
        <item m="1" x="4"/>
        <item m="1" x="585"/>
        <item m="1" x="2151"/>
        <item m="1" x="1687"/>
        <item m="1" x="1699"/>
        <item m="1" x="1493"/>
        <item m="1" x="1500"/>
        <item m="1" x="1562"/>
        <item m="1" x="2036"/>
        <item m="1" x="2199"/>
        <item m="1" x="353"/>
        <item m="1" x="908"/>
        <item m="1" x="1102"/>
        <item m="1" x="1589"/>
        <item m="1" x="1745"/>
        <item m="1" x="2120"/>
        <item m="1" x="976"/>
        <item m="1" x="1855"/>
        <item m="1" x="862"/>
        <item m="1" x="958"/>
        <item m="1" x="765"/>
        <item m="1" x="1275"/>
        <item m="1" x="2027"/>
        <item m="1" x="827"/>
        <item m="1" x="1335"/>
        <item m="1" x="1512"/>
        <item m="1" x="1991"/>
        <item m="1" x="2231"/>
        <item m="1" x="771"/>
        <item m="1" x="1509"/>
        <item m="1" x="1870"/>
        <item m="1" x="2066"/>
        <item m="1" x="636"/>
        <item m="1" x="292"/>
        <item m="1" x="367"/>
        <item m="1" x="760"/>
        <item m="1" x="1261"/>
        <item m="1" x="1716"/>
        <item m="1" x="1970"/>
        <item m="1" x="2032"/>
        <item m="1" x="48"/>
        <item m="1" x="209"/>
        <item m="1" x="657"/>
        <item m="1" x="687"/>
        <item m="1" x="2204"/>
        <item m="1" x="196"/>
        <item m="1" x="812"/>
        <item m="1" x="29"/>
        <item m="1" x="38"/>
        <item m="1" x="204"/>
        <item m="1" x="268"/>
        <item m="1" x="1006"/>
        <item m="1" x="1831"/>
        <item m="1" x="1"/>
        <item m="1" x="128"/>
        <item m="1" x="201"/>
        <item m="1" x="638"/>
        <item m="1" x="1382"/>
        <item m="1" x="286"/>
        <item m="1" x="1270"/>
        <item m="1" x="108"/>
        <item m="1" x="122"/>
        <item m="1" x="126"/>
        <item m="1" x="170"/>
        <item m="1" x="347"/>
        <item m="1" x="1590"/>
        <item m="1" x="1723"/>
        <item m="1" x="1925"/>
        <item m="1" x="2045"/>
        <item m="1" x="257"/>
        <item m="1" x="681"/>
        <item m="1" x="986"/>
        <item m="1" x="1014"/>
        <item m="1" x="1289"/>
        <item m="1" x="1577"/>
        <item m="1" x="1666"/>
        <item m="1" x="2098"/>
        <item m="1" x="2125"/>
        <item m="1" x="998"/>
        <item m="1" x="1856"/>
        <item m="1" x="385"/>
        <item m="1" x="499"/>
        <item m="1" x="710"/>
        <item m="1" x="726"/>
        <item m="1" x="1022"/>
        <item m="1" x="1234"/>
        <item m="1" x="62"/>
        <item m="1" x="510"/>
        <item m="1" x="792"/>
        <item m="1" x="1347"/>
        <item m="1" x="2077"/>
        <item m="1" x="2"/>
        <item m="1" x="7"/>
        <item m="1" x="93"/>
        <item m="1" x="167"/>
        <item m="1" x="551"/>
        <item m="1" x="798"/>
        <item m="1" x="1568"/>
        <item m="1" x="2040"/>
        <item m="1" x="2052"/>
        <item m="1" x="1295"/>
        <item m="1" x="1778"/>
        <item m="1" x="1817"/>
        <item m="1" x="1823"/>
        <item m="1" x="69"/>
        <item m="1" x="259"/>
        <item m="1" x="990"/>
        <item m="1" x="1582"/>
        <item m="1" x="1877"/>
        <item m="1" x="2108"/>
        <item m="1" x="2142"/>
        <item m="1" x="2239"/>
        <item m="1" x="924"/>
        <item m="1" x="1015"/>
        <item m="1" x="1041"/>
        <item m="1" x="1592"/>
        <item m="1" x="1750"/>
        <item m="1" x="469"/>
        <item m="1" x="768"/>
        <item m="1" x="965"/>
        <item m="1" x="1486"/>
        <item m="1" x="2029"/>
        <item m="1" x="221"/>
        <item m="1" x="287"/>
        <item m="1" x="444"/>
        <item m="1" x="1271"/>
        <item m="1" x="1503"/>
        <item m="1" x="1737"/>
        <item m="1" x="2160"/>
        <item m="1" x="293"/>
        <item m="1" x="356"/>
        <item m="1" x="957"/>
        <item m="1" x="1230"/>
        <item m="1" x="1844"/>
        <item m="1" x="2228"/>
        <item m="1" x="241"/>
        <item m="1" x="1193"/>
        <item m="1" x="1374"/>
        <item m="1" x="1483"/>
        <item m="1" x="1625"/>
        <item m="1" x="409"/>
        <item m="1" x="491"/>
        <item m="1" x="569"/>
        <item m="1" x="910"/>
        <item m="1" x="1473"/>
        <item m="1" x="1487"/>
        <item m="1" x="1557"/>
        <item m="1" x="1564"/>
        <item m="1" x="1742"/>
        <item m="1" x="1858"/>
        <item m="1" x="25"/>
        <item m="1" x="518"/>
        <item m="1" x="787"/>
        <item m="1" x="825"/>
        <item m="1" x="968"/>
        <item m="1" x="1002"/>
        <item m="1" x="1808"/>
        <item m="1" x="1814"/>
        <item m="1" x="183"/>
        <item m="1" x="343"/>
        <item m="1" x="783"/>
        <item m="1" x="1001"/>
        <item m="1" x="1308"/>
        <item m="1" x="1326"/>
        <item m="1" x="1541"/>
        <item m="1" x="1732"/>
        <item m="1" x="1826"/>
        <item m="1" x="439"/>
        <item m="1" x="831"/>
        <item m="1" x="869"/>
        <item m="1" x="1162"/>
        <item m="1" x="1530"/>
        <item m="1" x="1695"/>
        <item m="1" x="1757"/>
        <item m="1" x="1798"/>
        <item m="1" x="2086"/>
        <item m="1" x="18"/>
        <item m="1" x="252"/>
        <item m="1" x="611"/>
        <item m="1" x="1774"/>
        <item m="1" x="1779"/>
        <item m="1" x="1976"/>
        <item m="1" x="246"/>
        <item m="1" x="250"/>
        <item m="1" x="784"/>
        <item m="1" x="969"/>
        <item m="1" x="1467"/>
        <item m="1" x="129"/>
        <item m="1" x="163"/>
        <item m="1" x="274"/>
        <item m="1" x="348"/>
        <item m="1" x="442"/>
        <item m="1" x="511"/>
        <item m="1" x="1140"/>
        <item m="1" x="1169"/>
        <item m="1" x="1333"/>
        <item m="1" x="1434"/>
        <item m="1" x="1462"/>
        <item m="1" x="1667"/>
        <item m="1" x="1684"/>
        <item m="1" x="2046"/>
        <item m="1" x="379"/>
        <item m="1" x="419"/>
        <item m="1" x="494"/>
        <item m="1" x="1188"/>
        <item m="1" x="1403"/>
        <item m="1" x="1408"/>
        <item m="1" x="2238"/>
        <item m="1" x="892"/>
        <item m="1" x="1362"/>
        <item m="1" x="2037"/>
        <item m="1" x="333"/>
        <item m="1" x="213"/>
        <item m="1" x="425"/>
        <item m="1" x="840"/>
        <item m="1" x="846"/>
        <item m="1" x="988"/>
        <item m="1" x="1051"/>
        <item m="1" x="1243"/>
        <item m="1" x="1348"/>
        <item m="1" x="1800"/>
        <item m="1" x="40"/>
        <item m="1" x="203"/>
        <item m="1" x="440"/>
        <item m="1" x="761"/>
        <item m="1" x="987"/>
        <item m="1" x="1812"/>
        <item m="1" x="2171"/>
        <item m="1" x="305"/>
        <item m="1" x="314"/>
        <item m="1" x="718"/>
        <item m="1" x="728"/>
        <item m="1" x="778"/>
        <item m="1" x="1050"/>
        <item m="1" x="1156"/>
        <item m="1" x="1538"/>
        <item m="1" x="1692"/>
        <item m="1" x="1849"/>
        <item m="1" x="665"/>
        <item m="1" x="1099"/>
        <item m="1" x="1479"/>
        <item m="1" x="1494"/>
        <item m="1" x="1871"/>
        <item m="1" x="149"/>
        <item m="1" x="766"/>
        <item m="1" x="816"/>
        <item m="1" x="1349"/>
        <item m="1" x="1466"/>
        <item m="1" x="1475"/>
        <item m="1" x="1581"/>
        <item m="1" x="1652"/>
        <item m="1" x="1657"/>
        <item m="1" x="59"/>
        <item m="1" x="102"/>
        <item m="1" x="465"/>
        <item m="1" x="1324"/>
        <item m="1" x="1825"/>
        <item m="1" x="1841"/>
        <item m="1" x="124"/>
        <item m="1" x="234"/>
        <item m="1" x="500"/>
        <item m="1" x="513"/>
        <item m="1" x="1083"/>
        <item m="1" x="2196"/>
        <item m="1" x="157"/>
        <item m="1" x="386"/>
        <item m="1" x="1114"/>
        <item m="1" x="1223"/>
        <item m="1" x="1630"/>
        <item m="1" x="997"/>
        <item m="1" x="1531"/>
        <item m="1" x="1950"/>
        <item m="1" x="295"/>
        <item m="1" x="731"/>
        <item m="1" x="982"/>
        <item m="1" x="1795"/>
        <item m="1" x="180"/>
        <item m="1" x="370"/>
        <item m="1" x="743"/>
        <item m="1" x="1794"/>
        <item m="1" x="2123"/>
        <item m="1" x="260"/>
        <item m="1" x="546"/>
        <item m="1" x="555"/>
        <item m="1" x="621"/>
        <item m="1" x="1821"/>
        <item m="1" x="2070"/>
        <item m="1" x="2088"/>
        <item m="1" x="2101"/>
        <item m="1" x="460"/>
        <item m="1" x="1930"/>
        <item m="1" x="53"/>
        <item m="1" x="522"/>
        <item m="1" x="828"/>
        <item m="1" x="2002"/>
        <item m="1" x="235"/>
        <item m="1" x="387"/>
        <item m="1" x="795"/>
        <item m="1" x="984"/>
        <item m="1" x="1091"/>
        <item m="1" x="1182"/>
        <item m="1" x="1373"/>
        <item m="1" x="1669"/>
        <item m="1" x="1974"/>
        <item m="1" x="525"/>
        <item m="1" x="1610"/>
        <item m="1" x="214"/>
        <item m="1" x="1042"/>
        <item m="1" x="1497"/>
        <item m="1" x="401"/>
        <item m="1" x="684"/>
        <item m="1" x="861"/>
        <item m="1" x="1663"/>
        <item m="1" x="77"/>
        <item m="1" x="1249"/>
        <item m="1" x="1451"/>
        <item m="1" x="609"/>
        <item m="1" x="492"/>
        <item m="1" x="717"/>
        <item m="1" x="896"/>
        <item m="1" x="362"/>
        <item m="1" x="2090"/>
        <item m="1" x="2099"/>
        <item m="1" x="590"/>
        <item m="1" x="666"/>
        <item m="1" x="1997"/>
        <item m="1" x="2134"/>
        <item m="1" x="1272"/>
        <item m="1" x="867"/>
        <item m="1" x="205"/>
        <item m="1" x="2053"/>
        <item m="1" x="801"/>
        <item m="1" x="1316"/>
        <item m="1" x="215"/>
        <item m="1" x="631"/>
        <item m="1" x="1367"/>
        <item m="1" x="410"/>
        <item m="1" x="393"/>
        <item m="1" x="1608"/>
        <item m="1" x="1257"/>
        <item m="1" x="493"/>
        <item m="1" x="71"/>
        <item m="1" x="284"/>
        <item m="1" x="773"/>
        <item m="1" x="191"/>
        <item m="1" x="917"/>
        <item m="1" x="1124"/>
        <item m="1" x="1711"/>
        <item m="1" x="1026"/>
        <item m="1" x="1018"/>
        <item m="1" x="2075"/>
        <item m="1" x="591"/>
        <item m="1" x="341"/>
        <item m="1" x="1754"/>
        <item m="1" x="1084"/>
        <item m="1" x="5"/>
        <item m="1" x="1876"/>
        <item m="1" x="16"/>
        <item m="1" x="1884"/>
        <item m="1" x="1740"/>
        <item m="1" x="1093"/>
        <item m="1" x="800"/>
        <item m="1" x="1128"/>
        <item m="1" x="1068"/>
        <item m="1" x="2203"/>
        <item m="1" x="1116"/>
        <item m="1" x="740"/>
        <item m="1" x="2054"/>
        <item m="1" x="1063"/>
        <item m="1" x="2198"/>
        <item m="1" x="1837"/>
        <item m="1" x="1953"/>
        <item m="1" x="169"/>
        <item m="1" x="433"/>
        <item m="1" x="758"/>
        <item m="1" x="999"/>
        <item m="1" x="833"/>
        <item m="1" x="459"/>
        <item m="1" x="826"/>
        <item m="1" x="944"/>
        <item m="1" x="2157"/>
        <item m="1" x="310"/>
        <item m="1" x="1776"/>
        <item m="1" x="1239"/>
        <item m="1" x="320"/>
        <item m="1" x="1815"/>
        <item m="1" x="1057"/>
        <item m="1" x="2128"/>
        <item m="1" x="251"/>
        <item m="1" x="300"/>
        <item m="1" x="413"/>
        <item m="1" x="454"/>
        <item m="1" x="1533"/>
        <item m="1" x="2028"/>
        <item m="1" x="151"/>
        <item m="1" x="1158"/>
        <item m="1" x="1720"/>
        <item m="1" x="1164"/>
        <item m="1" x="109"/>
        <item m="1" x="550"/>
        <item m="1" x="1839"/>
        <item m="1" x="1401"/>
        <item m="1" x="2179"/>
        <item m="1" x="272"/>
        <item m="1" x="1942"/>
        <item m="1" x="2147"/>
        <item m="1" x="1299"/>
        <item m="1" x="123"/>
        <item m="1" x="1039"/>
        <item m="1" x="2061"/>
        <item m="1" x="1866"/>
        <item m="1" x="620"/>
        <item m="1" x="1721"/>
        <item m="1" x="1927"/>
        <item m="1" x="325"/>
        <item m="1" x="588"/>
        <item m="1" x="350"/>
        <item m="1" x="2096"/>
        <item m="1" x="1628"/>
        <item m="1" x="884"/>
        <item m="1" x="1987"/>
        <item m="1" x="176"/>
        <item m="1" x="1644"/>
        <item m="1" x="1337"/>
        <item m="1" x="835"/>
        <item m="1" x="1151"/>
        <item m="1" x="2210"/>
        <item m="1" x="263"/>
        <item m="1" x="363"/>
        <item m="1" x="1857"/>
        <item m="1" x="2008"/>
        <item m="1" x="1872"/>
        <item m="1" x="753"/>
        <item m="1" x="121"/>
        <item m="1" x="125"/>
        <item m="1" x="462"/>
        <item m="1" x="1790"/>
        <item m="1" x="1534"/>
        <item m="1" x="2007"/>
        <item m="1" x="651"/>
        <item m="1" x="471"/>
        <item m="1" x="742"/>
        <item m="1" x="306"/>
        <item m="1" x="1346"/>
        <item m="1" x="1228"/>
        <item m="1" x="560"/>
        <item m="1" x="554"/>
        <item m="1" x="1489"/>
        <item m="1" x="538"/>
        <item m="1" x="1766"/>
        <item m="1" x="909"/>
        <item m="1" x="56"/>
        <item m="1" x="270"/>
        <item m="1" x="271"/>
        <item m="1" x="68"/>
        <item m="1" x="1423"/>
        <item m="1" x="695"/>
        <item m="1" x="1485"/>
        <item m="1" x="474"/>
        <item m="1" x="328"/>
        <item m="1" x="1965"/>
        <item m="1" x="388"/>
        <item m="1" x="2148"/>
        <item m="1" x="1235"/>
        <item m="1" x="282"/>
        <item m="1" x="311"/>
        <item m="1" x="217"/>
        <item m="1" x="737"/>
        <item m="1" x="1683"/>
        <item m="1" x="512"/>
        <item m="1" x="2015"/>
        <item m="1" x="326"/>
        <item m="1" x="1406"/>
        <item m="1" x="606"/>
        <item m="1" x="2197"/>
        <item m="1" x="888"/>
        <item m="1" x="1211"/>
        <item m="1" x="700"/>
        <item m="1" x="17"/>
        <item m="1" x="1499"/>
        <item m="1" x="158"/>
        <item m="1" x="1172"/>
        <item m="1" x="162"/>
        <item m="1" x="120"/>
        <item m="1" x="1898"/>
        <item m="1" x="807"/>
        <item m="1" x="2106"/>
        <item m="1" x="796"/>
        <item m="1" x="913"/>
        <item m="1" x="1892"/>
        <item m="1" x="2133"/>
        <item m="1" x="11"/>
        <item m="1" x="2079"/>
        <item m="1" x="118"/>
        <item m="1" x="1110"/>
        <item m="1" x="1251"/>
        <item m="1" x="1658"/>
        <item m="1" x="506"/>
        <item m="1" x="930"/>
        <item m="1" x="1393"/>
        <item m="1" x="1920"/>
        <item m="1" x="1626"/>
        <item m="1" x="2044"/>
        <item m="1" x="400"/>
        <item m="1" x="880"/>
        <item m="1" x="1394"/>
        <item m="1" x="1419"/>
        <item m="1" x="392"/>
        <item m="1" x="2236"/>
        <item m="1" x="346"/>
        <item m="1" x="612"/>
        <item m="1" x="1133"/>
        <item m="1" x="1718"/>
        <item m="1" x="21"/>
        <item m="1" x="1378"/>
        <item m="1" x="1294"/>
        <item m="1" x="2019"/>
        <item m="1" x="1931"/>
        <item m="1" x="1384"/>
        <item m="1" x="616"/>
        <item m="1" x="864"/>
        <item m="1" x="677"/>
        <item m="1" x="1163"/>
        <item m="1" x="2050"/>
        <item m="1" x="893"/>
        <item m="1" x="199"/>
        <item m="1" x="2135"/>
        <item m="1" x="576"/>
        <item m="1" x="583"/>
        <item m="1" x="1330"/>
        <item m="1" x="682"/>
        <item m="1" x="1638"/>
        <item m="1" x="2153"/>
        <item m="1" x="2144"/>
        <item m="1" x="708"/>
        <item m="1" x="1647"/>
        <item m="1" x="900"/>
        <item m="1" x="882"/>
        <item m="1" x="480"/>
        <item m="1" x="813"/>
        <item m="1" x="105"/>
        <item m="1" x="1917"/>
        <item m="1" x="1840"/>
        <item m="1" x="568"/>
        <item m="1" x="264"/>
        <item m="1" x="220"/>
        <item m="1" x="1706"/>
        <item m="1" x="1341"/>
        <item m="1" x="1846"/>
        <item m="1" x="1220"/>
        <item m="1" x="1399"/>
        <item m="1" x="1948"/>
        <item m="1" x="1414"/>
        <item m="1" x="2174"/>
        <item m="1" x="1506"/>
        <item m="1" x="1409"/>
        <item m="1" x="1832"/>
        <item m="1" x="2031"/>
        <item m="1" x="317"/>
        <item m="1" x="1542"/>
        <item m="1" x="285"/>
        <item m="1" x="849"/>
        <item m="1" x="1358"/>
        <item m="1" x="2093"/>
        <item m="1" x="1678"/>
        <item m="1" x="2141"/>
        <item m="1" x="1842"/>
        <item m="1" x="1125"/>
        <item m="1" x="1161"/>
        <item m="1" x="1495"/>
        <item m="1" x="1729"/>
        <item m="1" x="245"/>
        <item m="1" x="1971"/>
        <item m="1" x="1245"/>
        <item m="1" x="1641"/>
        <item m="1" x="1819"/>
        <item m="1" x="2227"/>
        <item m="1" x="1150"/>
        <item m="1" x="1206"/>
        <item m="1" x="1209"/>
        <item m="1" x="1009"/>
        <item m="1" x="1764"/>
        <item m="1" x="1360"/>
        <item m="1" x="767"/>
        <item m="1" x="1069"/>
        <item m="1" x="901"/>
        <item m="1" x="1851"/>
        <item m="1" x="747"/>
        <item m="1" x="1183"/>
        <item m="1" x="1247"/>
        <item m="1" x="1134"/>
        <item m="1" x="485"/>
        <item m="1" x="832"/>
        <item m="1" x="1886"/>
        <item m="1" x="1894"/>
        <item m="1" x="1918"/>
        <item m="1" x="2114"/>
        <item m="1" x="2104"/>
        <item m="1" x="670"/>
        <item m="1" x="875"/>
        <item m="1" x="1430"/>
        <item m="1" x="1339"/>
        <item m="1" x="563"/>
        <item m="1" x="649"/>
        <item m="1" x="2005"/>
        <item m="1" x="712"/>
        <item m="1" x="697"/>
        <item m="1" x="1597"/>
        <item m="1" x="1087"/>
        <item m="1" x="696"/>
        <item m="1" x="1064"/>
        <item m="1" x="996"/>
        <item m="1" x="1540"/>
        <item m="1" x="44"/>
        <item m="1" x="1173"/>
        <item m="1" x="693"/>
        <item m="1" x="788"/>
        <item m="1" x="1511"/>
        <item m="1" x="853"/>
        <item m="1" x="31"/>
        <item m="1" x="2048"/>
        <item m="1" x="2115"/>
        <item m="1" x="1791"/>
        <item m="1" x="2091"/>
        <item m="1" x="1889"/>
        <item m="1" x="2064"/>
        <item m="1" x="1999"/>
        <item m="1" x="1579"/>
        <item m="1" x="79"/>
        <item m="1" x="365"/>
        <item m="1" x="770"/>
        <item m="1" x="1427"/>
        <item m="1" x="2161"/>
        <item m="1" x="548"/>
        <item m="1" x="402"/>
        <item m="1" x="1668"/>
        <item m="1" x="1989"/>
        <item m="1" x="23"/>
        <item m="1" x="1449"/>
        <item m="1" x="2023"/>
        <item m="1" x="1012"/>
        <item m="1" x="834"/>
        <item m="1" x="1545"/>
        <item m="1" x="1736"/>
        <item m="1" x="1845"/>
        <item m="1" x="185"/>
        <item m="1" x="1029"/>
        <item m="1" x="2113"/>
        <item m="1" x="74"/>
        <item m="1" x="2068"/>
        <item m="1" x="210"/>
        <item m="1" x="218"/>
        <item m="1" x="1336"/>
        <item m="1" x="1513"/>
        <item m="1" x="752"/>
        <item m="1" x="1442"/>
        <item m="1" x="1868"/>
        <item m="1" x="2173"/>
        <item m="1" x="1967"/>
        <item m="1" x="1816"/>
        <item m="1" x="2213"/>
        <item m="1" x="673"/>
        <item m="1" x="1088"/>
        <item m="1" x="1722"/>
        <item m="1" x="1782"/>
        <item m="1" x="243"/>
        <item m="1" x="294"/>
        <item m="1" x="127"/>
        <item m="1" x="1461"/>
        <item m="1" x="949"/>
        <item m="1" x="1052"/>
        <item m="1" x="240"/>
        <item m="1" x="521"/>
        <item m="1" x="2232"/>
        <item m="1" x="312"/>
        <item m="1" x="344"/>
        <item m="1" x="1010"/>
        <item m="1" x="237"/>
        <item m="1" x="2034"/>
        <item m="1" x="690"/>
        <item m="1" x="1307"/>
        <item m="1" x="236"/>
        <item m="1" x="1148"/>
        <item m="1" x="898"/>
        <item m="1" x="229"/>
        <item m="1" x="1413"/>
        <item m="1" x="1682"/>
        <item m="1" x="1370"/>
        <item m="1" x="32"/>
        <item m="1" x="757"/>
        <item m="1" x="2181"/>
        <item m="1" x="596"/>
        <item m="1" x="915"/>
        <item m="1" x="1679"/>
        <item m="1" x="156"/>
        <item m="1" x="1344"/>
        <item m="1" x="1623"/>
        <item m="1" x="829"/>
        <item m="1" x="266"/>
        <item m="1" x="527"/>
        <item m="1" x="1095"/>
        <item m="1" x="426"/>
        <item m="1" x="1547"/>
        <item m="1" x="1719"/>
        <item m="1" x="276"/>
        <item m="1" x="463"/>
        <item m="1" x="655"/>
        <item m="1" x="632"/>
        <item m="1" x="2165"/>
        <item m="1" x="2185"/>
        <item m="1" x="704"/>
        <item m="1" x="715"/>
        <item m="1" x="725"/>
        <item m="1" x="854"/>
        <item m="1" x="2051"/>
        <item m="1" x="434"/>
        <item m="1" x="448"/>
        <item m="1" x="1397"/>
        <item m="1" x="351"/>
        <item m="1" x="1624"/>
        <item m="1" x="1258"/>
        <item m="1" x="1602"/>
        <item m="1" x="1129"/>
        <item m="1" x="2038"/>
        <item m="1" x="1524"/>
        <item m="1" x="195"/>
        <item m="1" x="748"/>
        <item m="1" x="1998"/>
        <item m="1" x="88"/>
        <item m="1" x="1126"/>
        <item m="1" x="1065"/>
        <item m="1" x="1452"/>
        <item m="1" x="2126"/>
        <item m="1" x="51"/>
        <item m="1" x="1312"/>
        <item m="1" x="1591"/>
        <item m="1" x="1548"/>
        <item m="1" x="1115"/>
        <item m="1" x="1780"/>
        <item m="1" x="1236"/>
        <item m="1" x="449"/>
        <item m="1" x="1632"/>
        <item m="1" x="1879"/>
        <item m="1" x="1560"/>
        <item m="1" x="1847"/>
        <item m="1" x="1334"/>
        <item m="1" x="60"/>
        <item m="1" x="2206"/>
        <item m="1" x="1972"/>
        <item m="1" x="562"/>
        <item m="1" x="132"/>
        <item m="1" x="803"/>
        <item m="1" x="1676"/>
        <item m="1" x="1705"/>
        <item m="1" x="278"/>
        <item m="1" x="261"/>
        <item m="1" x="903"/>
        <item m="1" x="394"/>
        <item m="1" x="1902"/>
        <item m="1" x="571"/>
        <item m="1" x="647"/>
        <item m="1" x="776"/>
        <item m="1" x="1875"/>
        <item m="1" x="1200"/>
        <item m="1" x="1516"/>
        <item m="1" x="1086"/>
        <item m="1" x="349"/>
        <item m="1" x="336"/>
        <item m="1" x="1266"/>
        <item m="1" x="35"/>
        <item m="1" x="1458"/>
        <item m="1" x="581"/>
        <item m="1" x="27"/>
        <item m="1" x="2065"/>
        <item m="1" x="564"/>
        <item m="1" x="112"/>
        <item m="1" x="1195"/>
        <item m="1" x="1224"/>
        <item m="1" x="1613"/>
        <item m="1" x="733"/>
        <item m="1" x="878"/>
        <item m="1" x="1072"/>
        <item m="1" x="1629"/>
        <item m="1" x="296"/>
        <item m="1" x="441"/>
        <item m="1" x="1117"/>
        <item m="1" x="19"/>
        <item m="1" x="291"/>
        <item m="1" x="1703"/>
        <item m="1" x="1763"/>
        <item m="1" x="2085"/>
        <item m="1" x="1659"/>
        <item m="1" x="1906"/>
        <item m="1" x="2166"/>
        <item m="1" x="1951"/>
        <item m="1" x="1583"/>
        <item m="1" x="254"/>
        <item m="1" x="738"/>
        <item m="1" x="1325"/>
        <item m="1" x="598"/>
        <item m="1" x="1799"/>
        <item m="1" x="197"/>
        <item m="1" x="1231"/>
        <item m="1" x="1725"/>
        <item m="1" x="1420"/>
        <item m="1" x="1882"/>
        <item m="1" x="184"/>
        <item m="1" x="933"/>
        <item m="1" x="2003"/>
        <item m="1" x="106"/>
        <item m="1" x="380"/>
        <item m="1" x="145"/>
        <item m="1" x="154"/>
        <item m="1" x="1549"/>
        <item m="1" x="1824"/>
        <item m="1" x="1908"/>
        <item m="1" x="1600"/>
        <item m="1" x="650"/>
        <item m="1" x="980"/>
        <item m="1" x="1822"/>
        <item m="1" x="961"/>
        <item m="1" x="1984"/>
        <item m="1" x="1521"/>
        <item m="1" x="397"/>
        <item m="1" x="1806"/>
        <item m="1" x="2189"/>
        <item m="1" x="80"/>
        <item m="1" x="92"/>
        <item m="1" x="133"/>
        <item m="1" x="2149"/>
        <item m="1" x="1121"/>
        <item m="1" x="640"/>
        <item m="1" x="1572"/>
        <item m="1" x="1317"/>
        <item m="1" x="1818"/>
        <item m="1" x="2154"/>
        <item m="1" x="1739"/>
        <item m="1" x="604"/>
        <item m="1" x="974"/>
        <item m="1" x="1587"/>
        <item m="1" x="1843"/>
        <item m="1" x="1135"/>
        <item m="1" x="972"/>
        <item m="1" x="361"/>
        <item m="1" x="1978"/>
        <item m="1" x="1686"/>
        <item m="1" x="794"/>
        <item m="1" x="321"/>
        <item m="1" x="593"/>
        <item m="1" x="582"/>
        <item m="1" x="342"/>
        <item m="1" x="1103"/>
        <item m="1" x="50"/>
        <item m="1" x="1537"/>
        <item m="1" x="1685"/>
        <item m="1" x="855"/>
        <item m="1" x="39"/>
        <item m="1" x="73"/>
        <item m="1" x="625"/>
        <item m="1" x="820"/>
        <item m="1" x="1092"/>
        <item m="1" x="1179"/>
        <item m="1" x="456"/>
        <item m="1" x="1599"/>
        <item m="1" x="1650"/>
        <item m="1" x="303"/>
        <item m="1" x="318"/>
        <item m="1" x="2129"/>
        <item m="1" x="1040"/>
        <item m="1" x="531"/>
        <item m="1" x="1743"/>
        <item m="1" x="572"/>
        <item m="1" x="1080"/>
        <item m="1" x="1066"/>
        <item m="1" x="630"/>
        <item m="1" x="1107"/>
        <item m="1" x="975"/>
        <item m="1" x="372"/>
        <item m="1" x="1468"/>
        <item m="1" x="873"/>
        <item m="1" x="1674"/>
        <item m="1" x="101"/>
        <item m="1" x="299"/>
        <item m="1" x="451"/>
        <item m="1" x="1111"/>
        <item m="1" x="1431"/>
        <item m="1" x="1284"/>
        <item m="1" x="1554"/>
        <item m="1" x="119"/>
        <item m="1" x="1677"/>
        <item m="1" x="2026"/>
        <item m="1" x="1594"/>
        <item m="1" x="507"/>
        <item m="1" x="1921"/>
        <item m="1" x="371"/>
        <item m="1" x="226"/>
        <item m="1" x="1030"/>
        <item m="1" x="376"/>
        <item m="1" x="2184"/>
        <item m="1" x="1027"/>
        <item m="1" x="791"/>
        <item m="1" x="1300"/>
        <item m="1" x="2156"/>
        <item m="1" x="2022"/>
        <item m="1" x="2216"/>
        <item m="1" x="688"/>
        <item m="1" x="1550"/>
        <item m="1" x="1332"/>
        <item m="1" x="159"/>
        <item m="1" x="1290"/>
        <item m="1" x="1132"/>
        <item m="1" x="1836"/>
        <item m="1" x="249"/>
        <item m="1" x="818"/>
        <item m="1" x="2094"/>
        <item m="1" x="2195"/>
        <item m="1" x="1090"/>
        <item m="1" x="1004"/>
        <item m="1" x="850"/>
        <item m="1" x="839"/>
        <item m="1" x="1355"/>
        <item m="1" x="1708"/>
        <item m="1" x="637"/>
        <item m="1" x="661"/>
        <item m="1" x="706"/>
        <item m="1" x="179"/>
        <item m="1" x="140"/>
        <item m="1" x="2122"/>
        <item m="1" x="174"/>
        <item m="1" x="946"/>
        <item m="1" x="1369"/>
        <item m="1" x="67"/>
        <item m="1" x="1443"/>
        <item m="1" x="1508"/>
        <item m="1" x="1735"/>
        <item m="1" x="2024"/>
        <item m="1" x="1801"/>
        <item m="1" x="1233"/>
        <item m="1" x="1490"/>
        <item m="1" x="565"/>
        <item m="1" x="618"/>
        <item m="1" x="945"/>
        <item m="1" x="1167"/>
        <item m="1" x="408"/>
        <item m="1" x="692"/>
        <item m="1" x="6"/>
        <item m="1" x="927"/>
        <item m="1" x="1250"/>
        <item m="1" x="1672"/>
        <item m="1" x="686"/>
        <item m="1" x="750"/>
        <item m="1" x="1109"/>
        <item m="1" x="414"/>
        <item m="1" x="2041"/>
        <item m="1" x="1038"/>
        <item m="1" x="2109"/>
        <item m="1" x="1037"/>
        <item m="1" x="55"/>
        <item m="1" x="137"/>
        <item m="1" x="265"/>
        <item m="1" x="1986"/>
        <item m="1" x="332"/>
        <item m="1" x="377"/>
        <item m="1" x="43"/>
        <item m="1" x="537"/>
        <item m="1" x="856"/>
        <item m="1" x="1170"/>
        <item m="1" x="1730"/>
        <item m="1" x="227"/>
        <item m="1" x="420"/>
        <item m="1" x="1104"/>
        <item m="1" x="2020"/>
        <item m="1" x="1059"/>
        <item m="1" x="189"/>
        <item m="1" x="723"/>
        <item m="1" x="1788"/>
        <item m="1" x="1949"/>
        <item m="1" x="1130"/>
        <item m="1" x="384"/>
        <item m="1" x="1578"/>
        <item m="1" x="2058"/>
        <item m="1" x="2146"/>
        <item m="1" x="111"/>
        <item m="1" x="547"/>
        <item m="1" x="1575"/>
        <item m="1" x="1748"/>
        <item m="1" x="977"/>
        <item m="1" x="1536"/>
        <item m="1" x="1752"/>
        <item m="1" x="1159"/>
        <item m="1" x="836"/>
        <item m="1" x="1194"/>
        <item m="1" x="1323"/>
        <item m="1" x="622"/>
        <item m="1" x="1365"/>
        <item m="1" x="1783"/>
        <item m="1" x="552"/>
        <item m="1" x="541"/>
        <item m="1" x="1770"/>
        <item m="1" x="1391"/>
        <item m="1" x="739"/>
        <item m="1" x="452"/>
        <item m="1" x="144"/>
        <item m="1" x="1309"/>
        <item m="1" x="1044"/>
        <item m="1" x="2137"/>
        <item m="1" x="872"/>
        <item m="1" x="1388"/>
        <item m="1" x="1190"/>
        <item m="1" x="1147"/>
        <item m="1" x="81"/>
        <item m="1" x="141"/>
        <item m="1" x="952"/>
        <item m="1" x="1232"/>
        <item m="1" x="543"/>
        <item m="1" x="1891"/>
        <item m="1" x="1850"/>
        <item m="1" x="736"/>
        <item m="1" x="802"/>
        <item m="1" x="1145"/>
        <item m="1" x="142"/>
        <item m="1" x="1649"/>
        <item m="1" x="597"/>
        <item m="1" x="1204"/>
        <item m="1" x="1915"/>
        <item m="1" x="1611"/>
        <item m="1" x="1619"/>
        <item m="1" x="934"/>
        <item m="1" x="613"/>
        <item m="1" x="1177"/>
        <item m="1" x="337"/>
        <item m="1" x="1246"/>
        <item m="1" x="1256"/>
        <item m="1" x="1402"/>
        <item m="1" x="1392"/>
        <item m="1" x="1567"/>
        <item m="1" x="2140"/>
        <item m="1" x="42"/>
        <item m="1" x="1616"/>
        <item m="1" x="1777"/>
        <item m="1" x="2017"/>
        <item m="1" x="1653"/>
        <item m="1" x="255"/>
        <item m="1" x="390"/>
        <item m="1" x="239"/>
        <item m="1" x="749"/>
        <item m="1" x="962"/>
        <item m="1" x="1113"/>
        <item m="1" x="886"/>
        <item m="1" x="1724"/>
        <item m="1" x="533"/>
        <item m="1" x="1241"/>
        <item m="1" x="1627"/>
        <item m="1" x="1642"/>
        <item m="1" x="1775"/>
        <item m="1" x="2132"/>
        <item m="1" x="759"/>
        <item m="1" x="594"/>
        <item m="1" x="1291"/>
        <item m="1" x="1787"/>
        <item m="1" x="2043"/>
        <item m="1" x="208"/>
        <item m="1" x="1207"/>
        <item m="1" x="1259"/>
        <item m="1" x="1622"/>
        <item m="1" x="2071"/>
        <item m="1" x="1436"/>
        <item m="1" x="1635"/>
        <item m="1" x="1861"/>
        <item m="1" x="418"/>
        <item m="1" x="1196"/>
        <item m="1" x="509"/>
        <item m="1" x="1108"/>
        <item m="1" x="1465"/>
        <item m="1" x="1681"/>
        <item m="1" x="382"/>
        <item m="1" x="110"/>
        <item m="1" x="1153"/>
        <item m="1" x="1268"/>
        <item m="1" x="383"/>
        <item m="1" x="1498"/>
        <item m="1" x="1648"/>
        <item m="1" x="52"/>
        <item m="1" x="1853"/>
        <item m="1" x="645"/>
        <item m="1" x="1731"/>
        <item m="1" x="464"/>
        <item m="1" x="1432"/>
        <item m="1" x="2087"/>
        <item m="1" x="663"/>
        <item m="1" x="1569"/>
        <item m="1" x="2240"/>
        <item m="1" x="1077"/>
        <item m="1" x="1149"/>
        <item m="1" x="1214"/>
        <item m="1" x="1191"/>
        <item m="1" x="8"/>
        <item m="1" x="2001"/>
        <item m="1" x="63"/>
        <item m="1" x="477"/>
        <item m="1" x="1601"/>
        <item m="1" x="1131"/>
        <item m="1" x="1983"/>
        <item m="1" x="308"/>
        <item m="1" x="446"/>
        <item m="1" x="496"/>
        <item m="1" x="561"/>
        <item m="1" x="985"/>
        <item m="1" x="1558"/>
        <item m="1" x="1929"/>
        <item m="1" x="1755"/>
        <item m="1" x="482"/>
        <item m="1" x="1957"/>
        <item m="1" x="2117"/>
        <item m="1" x="1571"/>
        <item m="1" x="57"/>
        <item m="1" x="1303"/>
        <item m="1" x="902"/>
        <item m="1" x="1636"/>
        <item m="1" x="1203"/>
        <item m="1" x="2107"/>
        <item m="1" x="2081"/>
        <item m="1" x="994"/>
        <item m="1" x="1603"/>
        <item m="1" x="1990"/>
        <item m="1" x="2078"/>
        <item m="1" x="1993"/>
        <item m="1" x="540"/>
        <item m="1" x="694"/>
        <item m="1" x="960"/>
        <item m="1" x="192"/>
        <item m="1" x="2112"/>
        <item m="1" x="578"/>
        <item m="1" x="1262"/>
        <item m="1" x="1492"/>
        <item m="1" x="539"/>
        <item m="1" x="61"/>
        <item m="1" x="691"/>
        <item m="1" x="1286"/>
        <item m="1" x="1100"/>
        <item m="1" x="1305"/>
        <item m="1" x="1665"/>
        <item m="1" x="1828"/>
        <item m="1" x="289"/>
        <item m="1" x="667"/>
        <item m="1" x="307"/>
        <item m="1" x="1959"/>
        <item m="1" x="1911"/>
        <item m="1" x="1662"/>
        <item m="1" x="87"/>
        <item m="1" x="1421"/>
        <item m="1" x="2069"/>
        <item m="1" x="194"/>
        <item m="1" x="1713"/>
        <item m="1" x="732"/>
        <item m="1" x="273"/>
        <item m="1" x="956"/>
        <item m="1" x="1047"/>
        <item m="1" x="1502"/>
        <item m="1" x="1417"/>
        <item m="1" x="1946"/>
        <item m="1" x="37"/>
        <item m="1" x="378"/>
        <item m="1" x="1410"/>
        <item m="1" x="1936"/>
        <item m="1" x="754"/>
        <item m="1" x="2016"/>
        <item m="1" x="1480"/>
        <item m="1" x="1944"/>
        <item m="1" x="579"/>
        <item m="1" x="627"/>
        <item m="1" x="1273"/>
        <item m="1" x="1981"/>
        <item m="1" x="435"/>
        <item m="1" x="931"/>
        <item m="1" x="478"/>
        <item m="1" x="1398"/>
        <item m="1" x="1726"/>
        <item m="1" x="366"/>
        <item m="1" x="2057"/>
        <item m="1" x="359"/>
        <item m="1" x="1035"/>
        <item m="1" x="1277"/>
        <item m="1" x="2012"/>
        <item m="1" x="467"/>
        <item m="1" x="1395"/>
        <item m="1" x="1439"/>
        <item m="1" x="1939"/>
        <item m="1" x="76"/>
        <item m="1" x="36"/>
        <item m="1" x="1612"/>
        <item m="1" x="1202"/>
        <item m="1" x="1772"/>
        <item m="1" x="3"/>
        <item m="1" x="815"/>
        <item m="1" x="1142"/>
        <item m="1" x="1152"/>
        <item m="1" x="1438"/>
        <item m="1" x="1265"/>
        <item m="1" x="155"/>
        <item m="1" x="730"/>
        <item m="1" x="487"/>
        <item m="1" x="857"/>
        <item m="1" x="421"/>
        <item m="1" x="1020"/>
        <item m="1" x="1459"/>
        <item m="1" x="1717"/>
        <item m="1" x="2175"/>
        <item m="1" x="1019"/>
        <item m="1" x="2004"/>
        <item m="1" x="1463"/>
        <item m="1" x="524"/>
        <item m="1" x="652"/>
        <item m="1" x="516"/>
        <item m="1" x="455"/>
        <item m="1" x="1428"/>
        <item m="1" x="1867"/>
        <item m="1" x="2164"/>
        <item m="1" x="483"/>
        <item m="1" x="1519"/>
        <item m="1" x="2059"/>
        <item m="1" x="1865"/>
        <item m="1" x="304"/>
        <item m="1" x="290"/>
        <item m="1" x="1155"/>
        <item m="1" x="1221"/>
        <item m="1" x="1701"/>
        <item m="1" x="200"/>
        <item m="1" x="1321"/>
        <item m="1" x="1673"/>
        <item m="1" x="107"/>
        <item m="1" x="805"/>
        <item m="1" x="1219"/>
        <item m="1" x="2222"/>
        <item m="1" x="2211"/>
        <item m="1" x="844"/>
        <item m="1" x="907"/>
        <item m="1" x="707"/>
        <item m="1" x="1960"/>
        <item m="1" x="1771"/>
        <item m="1" x="2080"/>
        <item m="1" x="211"/>
        <item m="1" x="222"/>
        <item m="1" x="601"/>
        <item m="1" x="96"/>
        <item m="1" x="1869"/>
        <item m="1" x="9"/>
        <item m="1" x="724"/>
        <item m="1" x="920"/>
        <item m="1" x="685"/>
        <item m="1" x="1476"/>
        <item m="1" x="1359"/>
        <item m="1" x="1580"/>
        <item m="1" x="577"/>
        <item m="1" x="592"/>
        <item m="1" x="615"/>
        <item m="1" x="161"/>
        <item m="1" x="1306"/>
        <item m="1" x="1675"/>
        <item m="1" x="1694"/>
        <item m="1" x="1912"/>
        <item m="1" x="2182"/>
        <item m="1" x="1143"/>
        <item m="1" x="607"/>
        <item m="1" x="751"/>
        <item m="1" x="403"/>
        <item m="1" x="1252"/>
        <item m="1" x="2224"/>
        <item m="1" x="54"/>
        <item m="1" x="322"/>
        <item m="1" x="1248"/>
        <item m="1" x="1175"/>
        <item m="1" x="1637"/>
        <item m="1" x="1595"/>
        <item m="1" x="1671"/>
        <item m="1" x="438"/>
        <item m="1" x="2152"/>
        <item m="1" x="1033"/>
        <item m="1" x="1048"/>
        <item m="1" x="1081"/>
        <item m="1" x="1106"/>
        <item m="1" x="2221"/>
        <item m="1" x="963"/>
        <item m="1" x="396"/>
        <item m="1" x="1238"/>
        <item m="1" x="1353"/>
        <item m="1" x="1481"/>
        <item m="1" x="1514"/>
        <item m="1" x="921"/>
        <item m="1" x="1045"/>
        <item m="1" x="1471"/>
        <item m="1" x="1810"/>
        <item m="1" x="675"/>
        <item m="1" x="1255"/>
        <item m="1" x="1371"/>
        <item m="1" x="671"/>
        <item m="1" x="642"/>
        <item m="1" x="1528"/>
        <item m="1" x="1704"/>
        <item m="1" x="1934"/>
        <item m="1" x="2230"/>
        <item m="1" x="1380"/>
        <item m="1" x="605"/>
        <item m="1" x="1905"/>
        <item m="1" x="1988"/>
        <item m="1" x="2190"/>
        <item m="1" x="445"/>
        <item m="1" x="514"/>
        <item m="1" x="1710"/>
        <item m="1" x="2162"/>
        <item m="1" x="532"/>
        <item m="1" x="86"/>
        <item m="1" x="130"/>
        <item m="1" x="181"/>
        <item m="1" x="925"/>
        <item m="1" x="1070"/>
        <item m="1" x="1368"/>
        <item m="1" x="1556"/>
        <item m="1" x="1584"/>
        <item m="1" x="1728"/>
        <item m="1" x="1522"/>
        <item m="1" x="1899"/>
        <item m="1" x="950"/>
        <item m="1" x="1013"/>
        <item m="1" x="981"/>
        <item m="1" x="2116"/>
        <item m="1" x="490"/>
        <item m="1" x="1437"/>
        <item m="1" x="1445"/>
        <item m="1" x="1585"/>
        <item m="1" x="823"/>
        <item m="1" x="1297"/>
        <item m="1" x="1696"/>
        <item m="1" x="1941"/>
        <item m="1" x="1943"/>
        <item m="1" x="1952"/>
        <item m="1" x="238"/>
        <item m="1" x="484"/>
        <item m="1" x="1160"/>
        <item m="1" x="1139"/>
        <item m="1" x="1961"/>
        <item m="1" x="528"/>
        <item m="1" x="1120"/>
        <item m="1" x="1464"/>
        <item m="1" x="432"/>
        <item m="1" x="1144"/>
        <item m="1" x="1269"/>
        <item m="1" x="475"/>
        <item m="1" x="1067"/>
        <item m="1" x="1517"/>
        <item m="1" x="1523"/>
        <item m="1" x="244"/>
        <item m="1" x="2130"/>
        <item m="1" x="1923"/>
        <item m="1" x="774"/>
        <item m="1" x="701"/>
        <item m="1" x="1607"/>
        <item m="1" x="1433"/>
        <item m="1" x="1446"/>
        <item m="1" x="1890"/>
        <item m="1" x="1969"/>
        <item m="1" x="866"/>
        <item m="1" x="1698"/>
        <item m="1" x="587"/>
        <item m="1" x="1854"/>
        <item m="1" x="104"/>
        <item m="1" x="1215"/>
        <item m="1" x="1561"/>
        <item m="1" x="1747"/>
        <item m="1" x="1049"/>
        <item m="1" x="369"/>
        <item m="1" x="1181"/>
        <item m="1" x="1429"/>
        <item m="1" x="1781"/>
        <item m="1" x="345"/>
        <item m="1" x="166"/>
        <item m="1" x="894"/>
        <item m="1" x="1318"/>
        <item m="1" x="2072"/>
        <item m="1" x="852"/>
        <item m="1" x="2042"/>
        <item m="1" x="545"/>
        <item m="1" x="1709"/>
        <item m="1" x="936"/>
        <item m="1" x="1097"/>
        <item m="1" x="1184"/>
        <item m="1" x="2055"/>
        <item m="1" x="1691"/>
        <item m="1" x="1958"/>
        <item m="1" x="2233"/>
        <item m="1" x="1185"/>
        <item m="1" x="1793"/>
        <item m="1" x="1281"/>
        <item m="1" x="1994"/>
        <item m="1" x="75"/>
        <item m="1" x="398"/>
        <item m="1" x="1122"/>
        <item m="1" x="1242"/>
        <item m="1" x="1656"/>
        <item m="1" x="1811"/>
        <item m="1" x="275"/>
        <item m="1" x="1639"/>
        <item m="1" x="1833"/>
        <item m="1" x="2155"/>
        <item m="1" x="2013"/>
        <item m="1" x="556"/>
        <item m="1" x="1000"/>
        <item m="1" x="1785"/>
        <item m="1" x="1322"/>
        <item m="1" x="14"/>
        <item m="1" x="683"/>
        <item m="1" x="411"/>
        <item m="1" x="165"/>
        <item m="1" x="1924"/>
        <item m="1" x="173"/>
        <item m="1" x="808"/>
        <item m="1" x="858"/>
        <item m="1" x="1690"/>
        <item m="1" x="535"/>
        <item m="1" x="364"/>
        <item m="1" x="746"/>
        <item m="1" x="1932"/>
        <item m="1" x="2207"/>
        <item m="1" x="472"/>
        <item m="1" x="566"/>
        <item m="1" x="498"/>
        <item m="1" x="1697"/>
        <item m="1" x="190"/>
        <item m="1" x="2111"/>
        <item m="1" x="2076"/>
        <item m="1" x="134"/>
        <item m="1" x="689"/>
        <item m="1" x="1982"/>
        <item m="1" x="1017"/>
        <item m="1" x="1424"/>
        <item m="1" x="1342"/>
        <item m="1" x="1863"/>
        <item m="1" x="709"/>
        <item m="1" x="1166"/>
        <item m="1" x="206"/>
        <item m="1" x="148"/>
        <item m="1" x="810"/>
        <item m="1" x="926"/>
        <item m="1" x="1127"/>
        <item m="1" x="230"/>
        <item m="1" x="797"/>
        <item m="1" x="809"/>
        <item m="1" x="422"/>
        <item m="1" x="313"/>
        <item m="1" x="334"/>
        <item m="1" x="2158"/>
        <item m="1" x="1617"/>
        <item m="1" x="786"/>
        <item m="1" x="1350"/>
        <item m="1" x="876"/>
        <item m="1" x="1198"/>
        <item m="1" x="1400"/>
        <item m="1" x="1085"/>
        <item m="1" x="461"/>
        <item m="1" x="1573"/>
        <item m="1" x="947"/>
        <item m="1" x="1535"/>
        <item m="1" x="352"/>
        <item m="1" x="2188"/>
        <item m="1" x="90"/>
        <item m="1" x="458"/>
        <item m="1" x="1862"/>
        <item m="1" x="1186"/>
        <item m="1" x="1340"/>
        <item m="1" x="315"/>
        <item m="1" x="584"/>
        <item m="1" x="1796"/>
        <item m="1" x="923"/>
        <item m="1" x="1633"/>
        <item m="1" x="619"/>
        <item m="1" x="2234"/>
        <item m="1" x="1887"/>
        <item m="1" x="519"/>
        <item m="1" x="848"/>
        <item m="1" x="1105"/>
        <item m="1" x="2000"/>
        <item m="1" x="617"/>
        <item m="1" x="309"/>
        <item m="1" x="2191"/>
        <item m="1" x="1741"/>
        <item m="1" x="847"/>
        <item m="1" x="28"/>
        <item m="1" x="874"/>
        <item m="1" x="2121"/>
        <item m="1" x="58"/>
        <item m="1" x="72"/>
        <item m="1" x="182"/>
        <item m="1" x="113"/>
        <item m="1" x="953"/>
        <item m="1" x="769"/>
        <item m="1" x="1292"/>
        <item m="1" x="1407"/>
        <item m="1" x="1756"/>
        <item m="1" x="843"/>
        <item m="1" x="1614"/>
        <item m="1" x="2097"/>
        <item m="1" x="323"/>
        <item m="1" x="339"/>
        <item m="1" x="2214"/>
        <item m="1" x="916"/>
        <item m="1" x="1738"/>
        <item m="1" x="1883"/>
        <item m="1" x="1620"/>
        <item m="1" x="1852"/>
        <item m="1" x="355"/>
        <item m="1" x="1315"/>
        <item m="1" x="911"/>
        <item m="1" x="2025"/>
        <item m="1" x="2235"/>
        <item m="1" x="85"/>
        <item m="1" x="1922"/>
        <item m="1" x="139"/>
        <item m="1" x="1319"/>
        <item m="1" x="1450"/>
        <item m="1" x="1878"/>
        <item m="1" x="1893"/>
        <item m="1" x="20"/>
        <item m="1" x="793"/>
        <item m="1" x="1028"/>
        <item m="1" x="1914"/>
        <item m="1" x="1767"/>
        <item m="1" x="1278"/>
        <item m="1" x="1287"/>
        <item m="1" x="1180"/>
        <item m="1" x="262"/>
        <item m="1" x="959"/>
        <item m="1" x="713"/>
        <item m="1" x="1197"/>
        <item m="1" x="1913"/>
        <item m="1" x="504"/>
        <item m="1" x="906"/>
        <item m="1" x="575"/>
        <item m="1" x="868"/>
        <item m="1" x="2170"/>
        <item m="1" x="2183"/>
        <item m="1" x="711"/>
        <item m="1" x="1910"/>
        <item m="1" x="1331"/>
        <item m="1" x="1165"/>
        <item m="1" x="790"/>
        <item m="1" x="2215"/>
        <item m="1" x="1075"/>
        <item m="1" x="756"/>
        <item m="1" x="279"/>
        <item m="1" x="1661"/>
        <item m="1" x="1907"/>
        <item m="1" x="2018"/>
        <item m="1" x="428"/>
        <item m="1" x="2136"/>
        <item m="1" x="2205"/>
        <item m="1" x="1563"/>
        <item m="1" x="1298"/>
        <item m="1" x="2063"/>
        <item m="1" x="138"/>
        <item m="1" x="1263"/>
        <item m="1" x="95"/>
        <item m="1" x="219"/>
        <item m="1" x="497"/>
        <item m="1" x="1036"/>
        <item m="1" x="1253"/>
        <item m="1" x="1199"/>
        <item m="1" x="1227"/>
        <item m="1" x="534"/>
        <item m="1" x="610"/>
        <item m="1" x="2056"/>
        <item m="1" x="150"/>
        <item m="1" x="248"/>
        <item m="1" x="1328"/>
        <item m="1" x="1588"/>
        <item m="1" x="1807"/>
        <item m="1" x="1937"/>
        <item m="1" x="404"/>
        <item m="1" x="702"/>
        <item m="1" x="2119"/>
        <item m="1" x="1267"/>
        <item m="1" x="2226"/>
        <item m="1" x="1834"/>
        <item m="1" x="1749"/>
        <item m="1" x="1435"/>
        <item m="1" x="779"/>
        <item m="1" x="115"/>
        <item m="1" x="1293"/>
        <item m="1" x="443"/>
        <item m="1" x="1260"/>
        <item m="1" x="1154"/>
        <item m="1" x="1396"/>
        <item m="1" x="2127"/>
        <item m="1" x="1532"/>
        <item m="1" x="64"/>
        <item m="1" x="381"/>
        <item m="1" x="453"/>
        <item m="1" x="2192"/>
        <item m="1" x="488"/>
        <item m="1" x="515"/>
        <item m="1" x="1016"/>
        <item m="1" x="1422"/>
        <item m="1" x="1977"/>
        <item m="1" x="298"/>
        <item m="1" x="860"/>
        <item m="1" x="1615"/>
        <item m="1" x="253"/>
        <item m="1" x="1386"/>
        <item m="1" x="1938"/>
        <item m="1" x="267"/>
        <item m="1" x="814"/>
        <item m="1" x="98"/>
        <item m="1" x="1596"/>
        <item m="1" x="1354"/>
        <item m="1" x="216"/>
        <item m="1" x="83"/>
        <item m="1" x="228"/>
        <item m="1" x="1897"/>
        <item m="1" x="781"/>
        <item m="1" x="1311"/>
        <item m="1" x="1859"/>
        <item m="1" x="193"/>
        <item m="1" x="745"/>
        <item m="1" x="1282"/>
        <item m="1" x="1829"/>
        <item m="1" x="171"/>
        <item m="1" x="703"/>
        <item m="1" x="966"/>
        <item m="1" x="1244"/>
        <item m="1" x="1507"/>
        <item m="1" x="10"/>
        <item m="1" x="1789"/>
        <item m="1" x="135"/>
        <item m="1" x="389"/>
        <item m="1" x="658"/>
        <item m="1" x="939"/>
        <item m="1" x="1212"/>
        <item m="1" x="1469"/>
        <item m="1" x="1744"/>
        <item m="1" x="2033"/>
        <item m="1" x="91"/>
        <item m="1" x="2067"/>
        <item m="1" x="1441"/>
        <item m="1" x="1715"/>
        <item m="1" x="47"/>
        <item m="1" x="586"/>
        <item m="1" x="324"/>
        <item m="1" x="1992"/>
        <item m="1" x="870"/>
        <item m="1" x="1138"/>
        <item m="1" x="2209"/>
        <item m="1" x="1680"/>
        <item m="1" x="1955"/>
        <item m="1" x="225"/>
        <item m="1" x="2172"/>
        <item m="1" x="1094"/>
        <item m="1" x="2010"/>
        <item m="1" x="1786"/>
        <item m="1" x="1712"/>
        <item m="1" x="1559"/>
        <item m="1" x="1526"/>
        <item m="1" x="1453"/>
        <item m="1" x="1418"/>
        <item m="1" x="1385"/>
        <item m="1" x="1352"/>
        <item m="1" x="1310"/>
        <item m="1" x="1280"/>
        <item m="1" x="168"/>
        <item m="1" x="1240"/>
        <item m="1" x="131"/>
        <item m="1" x="2089"/>
        <item m="1" x="1210"/>
        <item m="1" x="89"/>
        <item m="1" x="1176"/>
        <item m="1" x="45"/>
        <item m="1" x="1137"/>
        <item m="1" x="12"/>
        <item m="1" x="1096"/>
        <item m="1" x="2208"/>
        <item m="1" x="1060"/>
        <item m="1" x="1474"/>
        <item m="1" x="2176"/>
        <item m="1" x="2105"/>
        <item m="1" x="1574"/>
        <item m="1" x="989"/>
        <item m="1" x="1527"/>
        <item m="1" x="2100"/>
        <item m="1" x="954"/>
        <item m="1" x="405"/>
        <item m="1" x="2138"/>
        <item m="1" x="1488"/>
        <item m="1" x="2060"/>
        <item m="1" x="374"/>
        <item m="1" x="1646"/>
        <item m="1" x="928"/>
        <item m="1" x="1454"/>
        <item m="1" x="2011"/>
        <item m="1" x="338"/>
        <item m="1" x="885"/>
        <item m="1" x="1885"/>
        <item m="1" x="1945"/>
        <item m="1" x="979"/>
        <item m="1" x="1963"/>
        <item m="1" x="1956"/>
        <item m="1" x="2083"/>
        <item m="1" x="2095"/>
        <item m="1" x="883"/>
        <item m="1" x="656"/>
        <item m="1" x="24"/>
        <item m="1" x="1351"/>
        <item m="1" x="358"/>
        <item m="1" x="1606"/>
        <item m="1" x="457"/>
        <item m="1" x="1076"/>
        <item m="1" x="729"/>
        <item m="1" x="624"/>
        <item m="1" x="904"/>
        <item m="1" x="1178"/>
        <item m="1" x="1073"/>
        <item m="1" x="1660"/>
        <item m="1" x="1023"/>
        <item m="1" x="1327"/>
        <item m="1" x="662"/>
        <item m="1" x="1996"/>
        <item m="1" x="33"/>
        <item m="1" x="177"/>
        <item m="1" x="1361"/>
        <item m="1" x="580"/>
        <item m="1" x="1598"/>
        <item m="1" x="1405"/>
        <item m="1" x="13"/>
        <item m="1" x="280"/>
        <item m="1" x="553"/>
        <item m="1" x="97"/>
        <item m="1" x="841"/>
        <item m="1" x="1098"/>
        <item m="1" x="1372"/>
        <item m="1" x="1645"/>
        <item m="1" x="2143"/>
        <item m="1" x="1926"/>
        <item m="1" x="2212"/>
        <item m="1" x="247"/>
        <item m="1" x="523"/>
        <item m="1" x="799"/>
        <item m="1" x="983"/>
        <item m="1" x="1061"/>
        <item m="1" x="1979"/>
        <item m="1" x="2169"/>
        <item m="1" x="1604"/>
        <item m="1" x="1881"/>
        <item m="1" x="1225"/>
        <item m="1" x="2177"/>
        <item m="1" x="1496"/>
        <item m="1" x="146"/>
        <item m="1" x="212"/>
        <item m="1" x="486"/>
        <item m="1" x="764"/>
        <item m="1" x="1032"/>
        <item m="1" x="1296"/>
        <item m="1" x="1565"/>
        <item m="1" x="1848"/>
        <item m="1" x="2139"/>
        <item m="1" x="178"/>
        <item m="1" x="762"/>
        <item m="1" x="450"/>
        <item m="1" x="821"/>
        <item m="1" x="991"/>
        <item m="1" x="1264"/>
        <item m="1" x="1529"/>
        <item m="1" x="1809"/>
        <item m="1" x="2102"/>
        <item m="1" x="152"/>
        <item m="1" x="354"/>
        <item m="1" x="407"/>
        <item m="1" x="1689"/>
        <item m="1" x="544"/>
        <item m="1" x="676"/>
        <item m="1" x="830"/>
        <item m="1" x="955"/>
        <item m="1" x="1089"/>
        <item m="1" x="1229"/>
        <item m="1" x="1364"/>
        <item m="1" x="1643"/>
        <item m="1" x="1491"/>
        <item m="1" x="1634"/>
        <item m="1" x="1768"/>
        <item m="1" x="1813"/>
        <item m="1" x="335"/>
        <item m="1" x="1909"/>
        <item m="1" x="2062"/>
        <item m="1" x="2202"/>
        <item m="1" x="114"/>
        <item m="1" x="330"/>
        <item m="1" x="242"/>
        <item m="1" x="375"/>
        <item m="1" x="508"/>
        <item m="1" x="639"/>
        <item m="1" x="789"/>
        <item m="1" x="929"/>
        <item m="1" x="1054"/>
        <item m="1" x="629"/>
        <item m="1" x="1539"/>
        <item m="1" x="319"/>
        <item m="1" x="1320"/>
        <item m="1" x="1455"/>
        <item m="1" x="1593"/>
        <item m="1" x="65"/>
        <item m="1" x="1734"/>
        <item m="1" x="1873"/>
        <item m="1" x="806"/>
        <item m="1" x="2014"/>
        <item m="1" x="2167"/>
        <item m="1" x="70"/>
        <item m="1" x="202"/>
        <item m="1" x="964"/>
        <item m="1" x="897"/>
        <item m="1" x="2021"/>
        <item m="1" x="340"/>
        <item m="1" x="1903"/>
        <item m="1" x="479"/>
        <item m="1" x="608"/>
        <item m="1" x="755"/>
        <item m="1" x="1021"/>
        <item m="1" x="1201"/>
        <item m="1" x="1157"/>
        <item m="1" x="1288"/>
        <item m="1" x="1425"/>
        <item m="1" x="1553"/>
        <item m="1" x="2217"/>
        <item m="1" x="1702"/>
        <item m="1" x="1838"/>
        <item m="1" x="1237"/>
        <item m="1" x="1980"/>
        <item m="1" x="2131"/>
        <item m="1" x="175"/>
        <item m="1" x="30"/>
        <item m="1" x="302"/>
        <item m="1" x="437"/>
        <item m="1" x="1329"/>
        <item m="1" x="573"/>
        <item m="1" x="716"/>
        <item m="1" x="863"/>
        <item m="1" x="978"/>
        <item m="1" x="1119"/>
        <item m="1" x="1254"/>
        <item m="1" x="117"/>
        <item m="1" x="1387"/>
        <item m="1" x="1520"/>
        <item m="1" x="1664"/>
        <item m="1" x="1802"/>
        <item m="1" x="1456"/>
        <item m="1" x="1389"/>
        <item m="1" x="1940"/>
        <item m="1" x="2092"/>
        <item m="1" x="2237"/>
        <item m="1" x="143"/>
        <item m="1" x="269"/>
        <item m="1" x="395"/>
        <item m="1" x="536"/>
        <item m="1" x="669"/>
        <item m="1" x="817"/>
        <item m="1" x="948"/>
        <item m="1" x="1082"/>
        <item m="1" x="1218"/>
        <item m="1" x="1618"/>
        <item m="1" x="1758"/>
        <item m="1" x="1901"/>
        <item m="1" x="2047"/>
        <item m="1" x="2194"/>
        <item m="1" x="103"/>
        <item m="1" x="232"/>
        <item m="1" x="368"/>
        <item m="1" x="502"/>
        <item m="1" x="635"/>
        <item m="1" x="782"/>
        <item m="1" x="919"/>
        <item m="1" x="530"/>
        <item m="1" x="1046"/>
        <item m="1" x="1189"/>
        <item m="1" x="1314"/>
        <item m="1" x="412"/>
        <item m="1" x="1448"/>
        <item m="1" x="1586"/>
        <item m="1" x="1727"/>
        <item m="1" x="2006"/>
        <item m="1" x="2159"/>
        <item m="1" x="1551"/>
        <item m="1" x="1621"/>
        <item m="1" x="473"/>
        <item m="1" x="331"/>
        <item m="1" x="599"/>
        <item m="1" x="881"/>
        <item m="1" x="1011"/>
        <item m="1" x="1146"/>
        <item m="1" x="623"/>
        <item m="1" x="1283"/>
        <item m="1" x="1412"/>
        <item m="1" x="1546"/>
        <item m="1" x="1693"/>
        <item m="1" x="1830"/>
        <item m="1" x="1968"/>
        <item m="1" x="2124"/>
        <item m="1" x="26"/>
        <item m="1" x="172"/>
        <item m="1" x="288"/>
        <item m="1" x="427"/>
        <item m="1" x="559"/>
        <item m="1" x="705"/>
        <item m="1" x="501"/>
        <item m="1" x="570"/>
        <item m="1" x="851"/>
        <item m="1" x="1761"/>
        <item m="1" x="970"/>
        <item m="1" x="1379"/>
        <item m="1" x="1510"/>
        <item m="1" x="1655"/>
        <item m="1" x="1792"/>
        <item m="1" x="1933"/>
        <item m="1" x="2084"/>
        <item m="1" x="1973"/>
        <item m="1" x="2225"/>
        <item m="1" x="136"/>
        <item m="1" x="258"/>
        <item m="1" x="327"/>
        <item m="1" x="188"/>
        <item m="1" x="1363"/>
        <item m="1" x="470"/>
        <item m="1" x="391"/>
        <item m="1" x="1390"/>
        <item m="1" x="1457"/>
        <item m="1" x="529"/>
        <item m="1" x="811"/>
        <item m="1" x="595"/>
        <item m="1" x="659"/>
        <item m="1" x="744"/>
        <item m="1" x="877"/>
        <item m="1" x="941"/>
        <item m="1" x="1008"/>
        <item m="1" x="1074"/>
        <item m="1" x="1141"/>
        <item m="1" x="1213"/>
        <item m="1" x="1276"/>
        <item m="1" x="1338"/>
        <item m="1" x="1411"/>
        <item m="1" x="1470"/>
        <item m="1" x="1543"/>
        <item m="1" x="1609"/>
        <item m="1" x="1688"/>
        <item m="1" x="1746"/>
        <item m="1" x="1827"/>
        <item m="1" x="1888"/>
        <item m="1" x="1964"/>
        <item m="1" x="2035"/>
        <item m="1" x="2118"/>
        <item m="1" x="2186"/>
        <item m="1" x="22"/>
        <item m="1" x="94"/>
        <item m="1" x="164"/>
        <item m="1" x="223"/>
        <item m="1" x="517"/>
        <item m="1" x="654"/>
        <item m="1" x="283"/>
        <item m="1" x="1357"/>
        <item m="1" x="1484"/>
        <item m="1" x="1285"/>
        <item m="1" x="1216"/>
        <item m="1" x="1928"/>
        <item m="1" x="1769"/>
        <item m="1" x="360"/>
        <item m="1" x="424"/>
        <item m="1" x="495"/>
        <item m="1" x="557"/>
        <item m="1" x="626"/>
        <item m="1" x="1762"/>
        <item m="1" x="698"/>
        <item m="1" x="775"/>
        <item m="1" x="7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m="1" x="2"/>
        <item m="1" x="3"/>
        <item m="1" x="1"/>
        <item m="1" x="4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20">
        <item m="1" x="186"/>
        <item m="1" x="176"/>
        <item m="1" x="118"/>
        <item m="1" x="281"/>
        <item m="1" x="299"/>
        <item m="1" x="720"/>
        <item m="1" x="443"/>
        <item m="1" x="522"/>
        <item m="1" x="749"/>
        <item m="1" x="709"/>
        <item m="1" x="635"/>
        <item m="1" x="370"/>
        <item m="1" x="528"/>
        <item m="1" x="402"/>
        <item m="1" x="41"/>
        <item m="1" x="508"/>
        <item m="1" x="618"/>
        <item m="1" x="144"/>
        <item m="1" x="42"/>
        <item m="1" x="269"/>
        <item m="1" x="622"/>
        <item m="1" x="420"/>
        <item m="1" x="543"/>
        <item m="1" x="205"/>
        <item m="1" x="814"/>
        <item m="1" x="135"/>
        <item m="1" x="194"/>
        <item m="1" x="305"/>
        <item m="1" x="228"/>
        <item m="1" x="113"/>
        <item m="1" x="492"/>
        <item m="1" x="183"/>
        <item m="1" x="641"/>
        <item m="1" x="729"/>
        <item m="1" x="92"/>
        <item m="1" x="339"/>
        <item m="1" x="440"/>
        <item m="1" x="105"/>
        <item m="1" x="239"/>
        <item m="1" x="773"/>
        <item m="1" x="819"/>
        <item m="1" x="328"/>
        <item m="1" x="512"/>
        <item m="1" x="496"/>
        <item m="1" x="588"/>
        <item m="1" x="373"/>
        <item m="1" x="261"/>
        <item m="1" x="131"/>
        <item m="1" x="72"/>
        <item m="1" x="132"/>
        <item m="1" x="219"/>
        <item m="1" x="128"/>
        <item m="1" x="91"/>
        <item m="1" x="40"/>
        <item m="1" x="469"/>
        <item m="1" x="389"/>
        <item m="1" x="177"/>
        <item m="1" x="121"/>
        <item m="1" x="427"/>
        <item m="1" x="73"/>
        <item m="1" x="409"/>
        <item m="1" x="652"/>
        <item m="1" x="495"/>
        <item m="1" x="682"/>
        <item m="1" x="567"/>
        <item m="1" x="718"/>
        <item m="1" x="399"/>
        <item m="1" x="268"/>
        <item m="1" x="394"/>
        <item m="1" x="788"/>
        <item m="1" x="488"/>
        <item m="1" x="451"/>
        <item m="1" x="195"/>
        <item m="1" x="640"/>
        <item m="1" x="607"/>
        <item m="1" x="690"/>
        <item m="1" x="374"/>
        <item m="1" x="250"/>
        <item m="1" x="688"/>
        <item m="1" x="308"/>
        <item m="1" x="546"/>
        <item m="1" x="793"/>
        <item m="1" x="361"/>
        <item m="1" x="276"/>
        <item m="1" x="407"/>
        <item m="1" x="375"/>
        <item m="1" x="539"/>
        <item m="1" x="277"/>
        <item m="1" x="143"/>
        <item m="1" x="421"/>
        <item m="1" x="158"/>
        <item m="1" x="676"/>
        <item m="1" x="198"/>
        <item m="1" x="256"/>
        <item m="1" x="674"/>
        <item m="1" x="221"/>
        <item m="1" x="378"/>
        <item m="1" x="117"/>
        <item m="1" x="286"/>
        <item m="1" x="324"/>
        <item m="1" x="354"/>
        <item m="1" x="441"/>
        <item m="1" x="744"/>
        <item m="1" x="794"/>
        <item m="1" x="818"/>
        <item m="1" x="17"/>
        <item m="1" x="314"/>
        <item m="1" x="571"/>
        <item m="1" x="166"/>
        <item m="1" x="775"/>
        <item m="1" x="51"/>
        <item m="1" x="782"/>
        <item m="1" x="104"/>
        <item m="1" x="698"/>
        <item m="1" x="89"/>
        <item m="1" x="459"/>
        <item m="1" x="157"/>
        <item m="1" x="346"/>
        <item m="1" x="362"/>
        <item m="1" x="279"/>
        <item m="1" x="387"/>
        <item m="1" x="741"/>
        <item m="1" x="343"/>
        <item m="1" x="50"/>
        <item m="1" x="231"/>
        <item m="1" x="26"/>
        <item m="1" x="425"/>
        <item m="1" x="576"/>
        <item m="1" x="810"/>
        <item m="1" x="159"/>
        <item m="1" x="687"/>
        <item m="1" x="509"/>
        <item m="1" x="172"/>
        <item m="1" x="612"/>
        <item m="1" x="54"/>
        <item m="1" x="783"/>
        <item m="1" x="464"/>
        <item m="1" x="310"/>
        <item m="1" x="669"/>
        <item m="1" x="284"/>
        <item m="1" x="412"/>
        <item m="1" x="38"/>
        <item m="1" x="615"/>
        <item m="1" x="444"/>
        <item m="1" x="671"/>
        <item m="1" x="454"/>
        <item m="1" x="780"/>
        <item m="1" x="393"/>
        <item m="1" x="304"/>
        <item m="1" x="418"/>
        <item m="1" x="224"/>
        <item m="1" x="694"/>
        <item m="1" x="278"/>
        <item m="1" x="321"/>
        <item m="1" x="587"/>
        <item m="1" x="272"/>
        <item m="1" x="476"/>
        <item m="1" x="511"/>
        <item m="1" x="271"/>
        <item m="1" x="532"/>
        <item m="1" x="264"/>
        <item m="1" x="115"/>
        <item m="1" x="703"/>
        <item m="1" x="140"/>
        <item m="1" x="156"/>
        <item m="1" x="565"/>
        <item m="1" x="352"/>
        <item m="1" x="203"/>
        <item m="1" x="376"/>
        <item m="1" x="252"/>
        <item m="1" x="341"/>
        <item m="1" x="257"/>
        <item m="1" x="245"/>
        <item m="1" x="500"/>
        <item m="1" x="553"/>
        <item m="1" x="730"/>
        <item m="1" x="333"/>
        <item m="1" x="154"/>
        <item m="1" x="240"/>
        <item m="1" x="447"/>
        <item m="1" x="93"/>
        <item m="1" x="382"/>
        <item m="1" x="626"/>
        <item m="1" x="547"/>
        <item m="1" x="21"/>
        <item m="1" x="680"/>
        <item m="1" x="296"/>
        <item m="1" x="501"/>
        <item m="1" x="62"/>
        <item m="1" x="297"/>
        <item m="1" x="697"/>
        <item m="1" x="235"/>
        <item m="1" x="422"/>
        <item m="1" x="629"/>
        <item m="1" x="307"/>
        <item m="1" x="503"/>
        <item m="1" x="414"/>
        <item m="1" x="772"/>
        <item m="1" x="65"/>
        <item m="1" x="234"/>
        <item m="1" x="329"/>
        <item m="1" x="472"/>
        <item m="1" x="541"/>
        <item m="1" x="678"/>
        <item m="1" x="724"/>
        <item m="1" x="705"/>
        <item m="1" x="292"/>
        <item m="1" x="406"/>
        <item m="1" x="636"/>
        <item m="1" x="667"/>
        <item m="1" x="340"/>
        <item m="1" x="751"/>
        <item m="1" x="524"/>
        <item m="1" x="397"/>
        <item m="1" x="419"/>
        <item m="1" x="342"/>
        <item m="1" x="647"/>
        <item m="1" x="31"/>
        <item m="1" x="467"/>
        <item m="1" x="322"/>
        <item m="1" x="727"/>
        <item m="1" x="169"/>
        <item m="1" x="605"/>
        <item m="1" x="544"/>
        <item m="1" x="395"/>
        <item m="1" x="708"/>
        <item m="1" x="815"/>
        <item m="1" x="696"/>
        <item m="1" x="351"/>
        <item m="1" x="707"/>
        <item m="1" x="728"/>
        <item m="1" x="535"/>
        <item m="1" x="148"/>
        <item m="1" x="223"/>
        <item m="1" x="332"/>
        <item m="1" x="489"/>
        <item m="1" x="594"/>
        <item m="1" x="577"/>
        <item m="1" x="695"/>
        <item m="1" x="681"/>
        <item m="1" x="1"/>
        <item m="1" x="755"/>
        <item m="1" x="760"/>
        <item m="1" x="247"/>
        <item m="1" x="100"/>
        <item m="1" x="266"/>
        <item m="1" x="403"/>
        <item m="1" x="201"/>
        <item m="1" x="237"/>
        <item m="1" x="160"/>
        <item m="1" x="210"/>
        <item m="1" x="338"/>
        <item m="1" x="174"/>
        <item m="1" x="559"/>
        <item m="1" x="683"/>
        <item m="1" x="208"/>
        <item m="1" x="230"/>
        <item m="1" x="330"/>
        <item m="1" x="645"/>
        <item m="1" x="437"/>
        <item m="1" x="146"/>
        <item m="1" x="60"/>
        <item m="1" x="685"/>
        <item m="1" x="679"/>
        <item m="1" x="410"/>
        <item m="1" x="473"/>
        <item m="1" x="270"/>
        <item m="1" x="325"/>
        <item m="1" x="771"/>
        <item m="1" x="11"/>
        <item m="1" x="766"/>
        <item m="1" x="497"/>
        <item m="1" x="415"/>
        <item m="1" x="173"/>
        <item m="1" x="30"/>
        <item m="1" x="161"/>
        <item m="1" x="417"/>
        <item m="1" x="470"/>
        <item m="1" x="798"/>
        <item m="1" x="35"/>
        <item m="1" x="400"/>
        <item m="1" x="716"/>
        <item m="1" x="162"/>
        <item m="1" x="566"/>
        <item m="1" x="817"/>
        <item m="1" x="759"/>
        <item m="1" x="561"/>
        <item m="1" x="527"/>
        <item m="1" x="634"/>
        <item m="1" x="732"/>
        <item m="1" x="47"/>
        <item m="1" x="735"/>
        <item m="1" x="506"/>
        <item m="1" x="142"/>
        <item m="1" x="337"/>
        <item m="1" x="802"/>
        <item m="1" x="803"/>
        <item m="1" x="262"/>
        <item m="1" x="734"/>
        <item m="1" x="59"/>
        <item m="1" x="217"/>
        <item m="1" x="670"/>
        <item m="1" x="505"/>
        <item m="1" x="548"/>
        <item m="1" x="806"/>
        <item m="1" x="6"/>
        <item m="1" x="377"/>
        <item m="1" x="617"/>
        <item m="1" x="432"/>
        <item m="1" x="335"/>
        <item m="1" x="114"/>
        <item m="1" x="514"/>
        <item m="1" x="768"/>
        <item m="1" x="563"/>
        <item m="1" x="481"/>
        <item m="1" x="396"/>
        <item m="1" x="165"/>
        <item m="1" x="368"/>
        <item m="1" x="812"/>
        <item m="1" x="153"/>
        <item m="1" x="182"/>
        <item m="1" x="49"/>
        <item m="1" x="331"/>
        <item m="1" x="290"/>
        <item m="1" x="774"/>
        <item m="1" x="155"/>
        <item m="1" x="792"/>
        <item m="1" x="3"/>
        <item m="1" x="126"/>
        <item m="1" x="90"/>
        <item m="1" x="598"/>
        <item m="1" x="769"/>
        <item m="1" x="316"/>
        <item m="1" x="429"/>
        <item m="1" x="625"/>
        <item m="1" x="573"/>
        <item m="1" x="392"/>
        <item m="1" x="285"/>
        <item m="1" x="799"/>
        <item m="1" x="136"/>
        <item m="1" x="366"/>
        <item m="1" x="613"/>
        <item m="1" x="663"/>
        <item m="1" x="461"/>
        <item m="1" x="37"/>
        <item m="1" x="737"/>
        <item m="1" x="122"/>
        <item m="1" x="184"/>
        <item m="1" x="531"/>
        <item m="1" x="28"/>
        <item m="1" x="79"/>
        <item m="1" x="731"/>
        <item m="1" x="251"/>
        <item m="1" x="659"/>
        <item m="1" x="152"/>
        <item m="1" x="710"/>
        <item m="1" x="433"/>
        <item m="1" x="770"/>
        <item m="1" x="590"/>
        <item m="1" x="171"/>
        <item m="1" x="706"/>
        <item m="1" x="232"/>
        <item m="1" x="282"/>
        <item m="1" x="750"/>
        <item m="1" x="294"/>
        <item m="1" x="655"/>
        <item m="1" x="275"/>
        <item m="1" x="649"/>
        <item m="1" x="15"/>
        <item m="1" x="39"/>
        <item m="1" x="719"/>
        <item m="1" x="446"/>
        <item m="1" x="25"/>
        <item m="1" x="557"/>
        <item m="1" x="298"/>
        <item m="1" x="733"/>
        <item m="1" x="490"/>
        <item m="1" x="267"/>
        <item m="1" x="675"/>
        <item m="1" x="263"/>
        <item m="1" x="178"/>
        <item m="1" x="477"/>
        <item m="1" x="701"/>
        <item m="1" x="334"/>
        <item m="1" x="657"/>
        <item m="1" x="301"/>
        <item m="1" x="129"/>
        <item m="1" x="808"/>
        <item m="1" x="465"/>
        <item m="1" x="98"/>
        <item m="1" x="202"/>
        <item m="1" x="742"/>
        <item m="1" x="19"/>
        <item m="1" x="110"/>
        <item m="1" x="61"/>
        <item m="1" x="568"/>
        <item m="1" x="712"/>
        <item m="1" x="36"/>
        <item m="1" x="196"/>
        <item m="1" x="273"/>
        <item m="1" x="191"/>
        <item m="1" x="549"/>
        <item m="1" x="147"/>
        <item m="1" x="513"/>
        <item m="1" x="22"/>
        <item m="1" x="502"/>
        <item m="1" x="138"/>
        <item m="1" x="758"/>
        <item m="1" x="602"/>
        <item m="1" x="288"/>
        <item m="1" x="150"/>
        <item m="1" x="809"/>
        <item m="1" x="596"/>
        <item m="1" x="475"/>
        <item m="1" x="572"/>
        <item m="1" x="363"/>
        <item m="1" x="554"/>
        <item m="1" x="408"/>
        <item m="1" x="14"/>
        <item m="1" x="581"/>
        <item m="1" x="787"/>
        <item m="1" x="283"/>
        <item m="1" x="309"/>
        <item m="1" x="413"/>
        <item m="1" x="725"/>
        <item m="1" x="518"/>
        <item m="1" x="360"/>
        <item m="1" x="255"/>
        <item m="1" x="784"/>
        <item m="1" x="242"/>
        <item m="1" x="214"/>
        <item m="1" x="791"/>
        <item m="1" x="111"/>
        <item m="1" x="206"/>
        <item m="1" x="190"/>
        <item m="1" x="589"/>
        <item m="1" x="660"/>
        <item m="1" x="453"/>
        <item m="1" x="211"/>
        <item m="1" x="494"/>
        <item m="1" x="721"/>
        <item m="1" x="356"/>
        <item m="1" x="691"/>
        <item m="1" x="533"/>
        <item m="1" x="326"/>
        <item m="1" x="32"/>
        <item m="1" x="555"/>
        <item m="1" x="438"/>
        <item m="1" x="638"/>
        <item m="1" x="677"/>
        <item m="1" x="699"/>
        <item m="1" x="764"/>
        <item m="1" x="519"/>
        <item m="1" x="18"/>
        <item m="1" x="491"/>
        <item m="1" x="713"/>
        <item m="1" x="816"/>
        <item m="1" x="260"/>
        <item m="1" x="431"/>
        <item m="1" x="101"/>
        <item m="1" x="220"/>
        <item m="1" x="85"/>
        <item m="1" x="478"/>
        <item m="1" x="87"/>
        <item m="1" x="204"/>
        <item m="1" x="702"/>
        <item m="1" x="78"/>
        <item m="1" x="668"/>
        <item m="1" x="293"/>
        <item m="1" x="487"/>
        <item m="1" x="106"/>
        <item m="1" x="800"/>
        <item m="1" x="656"/>
        <item m="1" x="726"/>
        <item m="1" x="530"/>
        <item m="1" x="416"/>
        <item m="1" x="781"/>
        <item m="1" x="95"/>
        <item m="1" x="642"/>
        <item m="1" x="482"/>
        <item m="1" x="603"/>
        <item m="1" x="468"/>
        <item m="1" x="16"/>
        <item m="1" x="740"/>
        <item m="1" x="583"/>
        <item m="1" x="804"/>
        <item m="1" x="604"/>
        <item m="1" x="621"/>
        <item m="1" x="789"/>
        <item m="1" x="236"/>
        <item m="1" x="23"/>
        <item m="1" x="483"/>
        <item m="1" x="265"/>
        <item m="1" x="383"/>
        <item m="1" x="693"/>
        <item m="1" x="149"/>
        <item m="1" x="46"/>
        <item m="1" x="777"/>
        <item m="1" x="371"/>
        <item m="1" x="434"/>
        <item m="1" x="390"/>
        <item m="1" x="10"/>
        <item m="1" x="450"/>
        <item m="1" x="83"/>
        <item m="1" x="295"/>
        <item m="1" x="103"/>
        <item m="1" x="347"/>
        <item m="1" x="137"/>
        <item m="1" x="259"/>
        <item m="1" x="55"/>
        <item m="1" x="125"/>
        <item m="1" x="53"/>
        <item m="1" x="449"/>
        <item m="1" x="672"/>
        <item m="1" x="435"/>
        <item m="1" x="462"/>
        <item m="1" x="280"/>
        <item m="1" x="9"/>
        <item m="1" x="66"/>
        <item m="1" x="86"/>
        <item m="1" x="68"/>
        <item m="1" x="233"/>
        <item m="1" x="684"/>
        <item m="1" x="801"/>
        <item m="1" x="767"/>
        <item m="1" x="745"/>
        <item m="1" x="213"/>
        <item m="1" x="207"/>
        <item m="1" x="353"/>
        <item m="1" x="796"/>
        <item m="1" x="317"/>
        <item m="1" x="81"/>
        <item m="1" x="627"/>
        <item m="1" x="752"/>
        <item m="1" x="756"/>
        <item m="1" x="673"/>
        <item m="1" x="151"/>
        <item m="1" x="411"/>
        <item m="1" x="193"/>
        <item m="1" x="654"/>
        <item m="1" x="797"/>
        <item m="1" x="507"/>
        <item m="1" x="27"/>
        <item m="1" x="715"/>
        <item m="1" x="358"/>
        <item m="1" x="542"/>
        <item m="1" x="133"/>
        <item m="1" x="614"/>
        <item m="1" x="218"/>
        <item m="1" x="762"/>
        <item m="1" x="452"/>
        <item m="1" x="538"/>
        <item m="1" x="560"/>
        <item m="1" x="4"/>
        <item m="1" x="391"/>
        <item m="1" x="405"/>
        <item m="1" x="107"/>
        <item m="1" x="215"/>
        <item m="1" x="651"/>
        <item m="1" x="229"/>
        <item m="1" x="595"/>
        <item m="1" x="442"/>
        <item m="1" x="359"/>
        <item m="1" x="134"/>
        <item m="1" x="515"/>
        <item m="1" x="456"/>
        <item m="1" x="643"/>
        <item m="1" x="77"/>
        <item m="1" x="748"/>
        <item m="1" x="5"/>
        <item m="1" x="639"/>
        <item m="1" x="754"/>
        <item m="1" x="556"/>
        <item m="1" x="401"/>
        <item m="1" x="689"/>
        <item m="1" x="349"/>
        <item m="1" x="558"/>
        <item m="1" x="253"/>
        <item m="1" x="575"/>
        <item m="1" x="644"/>
        <item m="1" x="315"/>
        <item m="1" x="648"/>
        <item m="1" x="599"/>
        <item m="1" x="199"/>
        <item m="1" x="385"/>
        <item m="1" x="116"/>
        <item m="1" x="254"/>
        <item m="1" x="130"/>
        <item m="1" x="471"/>
        <item m="1" x="120"/>
        <item m="1" x="52"/>
        <item m="1" x="466"/>
        <item m="1" x="365"/>
        <item m="1" x="493"/>
        <item m="1" x="97"/>
        <item m="1" x="187"/>
        <item m="1" x="141"/>
        <item m="1" x="227"/>
        <item m="1" x="805"/>
        <item m="1" x="593"/>
        <item m="1" x="212"/>
        <item m="1" x="624"/>
        <item m="1" x="320"/>
        <item m="1" x="628"/>
        <item m="1" x="661"/>
        <item m="1" x="70"/>
        <item m="1" x="700"/>
        <item m="1" x="795"/>
        <item m="1" x="665"/>
        <item m="1" x="811"/>
        <item m="1" x="569"/>
        <item m="1" x="790"/>
        <item m="1" x="609"/>
        <item m="1" x="551"/>
        <item m="1" x="600"/>
        <item m="1" x="711"/>
        <item m="1" x="124"/>
        <item m="1" x="197"/>
        <item m="1" x="45"/>
        <item m="1" x="510"/>
        <item m="1" x="666"/>
        <item m="1" x="631"/>
        <item m="1" x="517"/>
        <item m="1" x="168"/>
        <item m="1" x="580"/>
        <item m="1" x="499"/>
        <item m="1" x="404"/>
        <item m="1" x="520"/>
        <item m="1" x="743"/>
        <item m="1" x="291"/>
        <item m="1" x="200"/>
        <item m="1" x="226"/>
        <item m="1" x="722"/>
        <item m="1" x="765"/>
        <item m="1" x="69"/>
        <item m="1" x="57"/>
        <item m="1" x="714"/>
        <item m="1" x="381"/>
        <item m="1" x="384"/>
        <item m="1" x="662"/>
        <item m="1" x="88"/>
        <item m="1" x="521"/>
        <item m="1" x="480"/>
        <item m="1" x="180"/>
        <item m="1" x="592"/>
        <item m="1" x="650"/>
        <item m="1" x="367"/>
        <item m="1" x="225"/>
        <item m="1" x="738"/>
        <item m="1" x="29"/>
        <item m="1" x="616"/>
        <item m="1" x="786"/>
        <item m="1" x="306"/>
        <item m="1" x="620"/>
        <item m="1" x="778"/>
        <item m="1" x="537"/>
        <item m="1" x="439"/>
        <item m="1" x="430"/>
        <item m="1" x="534"/>
        <item m="1" x="601"/>
        <item m="1" x="300"/>
        <item m="1" x="448"/>
        <item m="1" x="2"/>
        <item m="1" x="623"/>
        <item m="1" x="123"/>
        <item m="1" x="311"/>
        <item m="1" x="785"/>
        <item m="1" x="486"/>
        <item m="1" x="345"/>
        <item m="1" x="244"/>
        <item m="1" x="606"/>
        <item m="1" x="761"/>
        <item m="1" x="570"/>
        <item m="1" x="428"/>
        <item m="1" x="289"/>
        <item m="1" x="757"/>
        <item m="1" x="188"/>
        <item m="1" x="460"/>
        <item m="1" x="348"/>
        <item m="1" x="34"/>
        <item m="1" x="552"/>
        <item m="1" x="327"/>
        <item m="1" x="145"/>
        <item m="1" x="302"/>
        <item m="1" x="574"/>
        <item m="1" x="474"/>
        <item m="1" x="238"/>
        <item m="1" x="436"/>
        <item m="1" x="249"/>
        <item m="1" x="736"/>
        <item m="1" x="545"/>
        <item m="1" x="164"/>
        <item m="1" x="380"/>
        <item m="1" x="64"/>
        <item m="1" x="807"/>
        <item m="1" x="646"/>
        <item m="1" x="312"/>
        <item m="1" x="48"/>
        <item m="1" x="243"/>
        <item m="1" x="170"/>
        <item m="1" x="355"/>
        <item m="1" x="274"/>
        <item m="1" x="763"/>
        <item m="1" x="58"/>
        <item m="1" x="246"/>
        <item m="1" x="424"/>
        <item m="1" x="209"/>
        <item m="1" x="692"/>
        <item m="1" x="82"/>
        <item m="1" x="388"/>
        <item m="1" x="258"/>
        <item m="1" x="318"/>
        <item m="1" x="127"/>
        <item m="1" x="12"/>
        <item m="1" x="579"/>
        <item m="1" x="523"/>
        <item m="1" x="386"/>
        <item m="1" x="313"/>
        <item m="1" x="357"/>
        <item m="1" x="323"/>
        <item m="1" x="189"/>
        <item m="1" x="76"/>
        <item m="1" x="776"/>
        <item m="1" x="369"/>
        <item m="1" x="109"/>
        <item m="1" x="423"/>
        <item m="1" x="562"/>
        <item m="1" x="578"/>
        <item m="1" x="586"/>
        <item m="1" x="746"/>
        <item m="1" x="632"/>
        <item m="1" x="485"/>
        <item m="1" x="167"/>
        <item m="1" x="619"/>
        <item m="1" x="585"/>
        <item m="1" x="426"/>
        <item m="1" x="241"/>
        <item m="1" x="84"/>
        <item m="1" x="664"/>
        <item m="1" x="591"/>
        <item m="1" x="739"/>
        <item m="1" x="717"/>
        <item m="1" x="630"/>
        <item m="1" x="108"/>
        <item m="1" x="526"/>
        <item m="1" x="24"/>
        <item m="1" x="139"/>
        <item m="1" x="44"/>
        <item m="1" x="248"/>
        <item m="1" x="753"/>
        <item m="1" x="455"/>
        <item m="1" x="540"/>
        <item m="1" x="75"/>
        <item m="1" x="550"/>
        <item m="1" x="597"/>
        <item m="1" x="379"/>
        <item m="1" x="633"/>
        <item m="1" x="611"/>
        <item m="1" x="364"/>
        <item m="1" x="179"/>
        <item m="1" x="94"/>
        <item m="1" x="192"/>
        <item m="1" x="686"/>
        <item m="1" x="20"/>
        <item m="1" x="56"/>
        <item m="1" x="398"/>
        <item m="1" x="185"/>
        <item m="1" x="529"/>
        <item m="1" x="67"/>
        <item m="1" x="610"/>
        <item m="1" x="287"/>
        <item m="1" x="445"/>
        <item m="1" x="658"/>
        <item m="1" x="463"/>
        <item m="1" x="96"/>
        <item m="1" x="779"/>
        <item m="1" x="458"/>
        <item m="1" x="13"/>
        <item m="1" x="74"/>
        <item m="1" x="336"/>
        <item m="1" x="181"/>
        <item m="1" x="582"/>
        <item m="1" x="372"/>
        <item m="1" x="484"/>
        <item m="1" x="516"/>
        <item m="1" x="536"/>
        <item m="1" x="350"/>
        <item m="1" x="216"/>
        <item m="1" x="457"/>
        <item m="1" x="99"/>
        <item m="1" x="163"/>
        <item m="1" x="525"/>
        <item m="1" x="175"/>
        <item m="1" x="222"/>
        <item m="1" x="723"/>
        <item m="1" x="80"/>
        <item m="1" x="479"/>
        <item m="1" x="102"/>
        <item m="1" x="33"/>
        <item m="1" x="498"/>
        <item m="1" x="43"/>
        <item m="1" x="303"/>
        <item m="1" x="63"/>
        <item m="1" x="319"/>
        <item m="1" x="112"/>
        <item m="1" x="813"/>
        <item m="1" x="344"/>
        <item m="1" x="747"/>
        <item m="1" x="704"/>
        <item m="1" x="584"/>
        <item m="1" x="8"/>
        <item m="1" x="119"/>
        <item m="1" x="564"/>
        <item m="1" x="653"/>
        <item x="0"/>
        <item m="1" x="637"/>
        <item m="1" x="71"/>
        <item m="1" x="7"/>
        <item m="1" x="608"/>
        <item m="1" x="5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7">
        <item m="1" x="11"/>
        <item m="1" x="13"/>
        <item m="1" x="2"/>
        <item m="1" x="7"/>
        <item m="1" x="15"/>
        <item m="1" x="1"/>
        <item m="1" x="3"/>
        <item m="1" x="14"/>
        <item m="1" x="16"/>
        <item m="1" x="10"/>
        <item m="1" x="4"/>
        <item m="1" x="5"/>
        <item m="1" x="9"/>
        <item m="1" x="6"/>
        <item m="1" x="8"/>
        <item m="1" x="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2"/>
    <field x="3"/>
    <field x="4"/>
    <field x="1"/>
    <field x="7"/>
    <field x="11"/>
  </rowFields>
  <rowItems count="2">
    <i>
      <x v="679"/>
      <x v="6"/>
      <x v="814"/>
      <x/>
      <x v="2240"/>
      <x/>
      <x v="13"/>
    </i>
    <i t="grand">
      <x/>
    </i>
  </rowItems>
  <colItems count="1">
    <i/>
  </colItems>
  <pageFields count="1">
    <pageField fld="10" item="2" hier="-1"/>
  </pageFields>
  <dataFields count="1">
    <dataField name="Soma de VALOR DA NF COM IMPOSTO" fld="8" baseField="11" baseItem="2" numFmtId="164"/>
  </dataFields>
  <formats count="1">
    <format dxfId="22">
      <pivotArea dataOnly="0" labelOnly="1" outline="0" fieldPosition="0">
        <references count="1">
          <reference field="1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DIN_COMPRAS" cacheId="0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6:K8" firstHeaderRow="1" firstDataRow="1" firstDataCol="8"/>
  <pivotFields count="11">
    <pivotField axis="axisRow" compact="0" outline="0" showAll="0" defaultSubtotal="0">
      <items count="605">
        <item m="1" x="457"/>
        <item m="1" x="208"/>
        <item m="1" x="220"/>
        <item m="1" x="523"/>
        <item m="1" x="126"/>
        <item m="1" x="418"/>
        <item m="1" x="72"/>
        <item m="1" x="533"/>
        <item m="1" x="3"/>
        <item m="1" x="497"/>
        <item m="1" x="312"/>
        <item m="1" x="355"/>
        <item m="1" x="1"/>
        <item m="1" x="164"/>
        <item m="1" x="188"/>
        <item m="1" x="176"/>
        <item m="1" x="332"/>
        <item m="1" x="41"/>
        <item m="1" x="573"/>
        <item m="1" x="586"/>
        <item m="1" x="62"/>
        <item m="1" x="139"/>
        <item m="1" x="364"/>
        <item m="1" x="82"/>
        <item m="1" x="535"/>
        <item m="1" x="386"/>
        <item m="1" x="468"/>
        <item m="1" x="547"/>
        <item m="1" x="483"/>
        <item m="1" x="592"/>
        <item m="1" x="138"/>
        <item m="1" x="359"/>
        <item m="1" x="151"/>
        <item m="1" x="247"/>
        <item m="1" x="382"/>
        <item m="1" x="395"/>
        <item m="1" x="480"/>
        <item m="1" x="554"/>
        <item m="1" x="109"/>
        <item m="1" x="186"/>
        <item m="1" x="266"/>
        <item m="1" x="564"/>
        <item m="1" x="134"/>
        <item m="1" x="529"/>
        <item m="1" x="29"/>
        <item m="1" x="338"/>
        <item m="1" x="210"/>
        <item m="1" x="144"/>
        <item m="1" x="438"/>
        <item m="1" x="528"/>
        <item m="1" x="158"/>
        <item m="1" x="308"/>
        <item m="1" x="16"/>
        <item m="1" x="315"/>
        <item m="1" x="474"/>
        <item m="1" x="551"/>
        <item m="1" x="24"/>
        <item m="1" x="399"/>
        <item m="1" x="271"/>
        <item m="1" x="408"/>
        <item m="1" x="419"/>
        <item m="1" x="301"/>
        <item m="1" x="12"/>
        <item m="1" x="168"/>
        <item m="1" x="21"/>
        <item m="1" x="102"/>
        <item m="1" x="570"/>
        <item m="1" x="335"/>
        <item m="1" x="61"/>
        <item m="1" x="129"/>
        <item m="1" x="357"/>
        <item m="1" x="521"/>
        <item m="1" x="342"/>
        <item m="1" x="422"/>
        <item m="1" x="505"/>
        <item m="1" x="65"/>
        <item m="1" x="354"/>
        <item m="1" x="230"/>
        <item m="1" x="604"/>
        <item m="1" x="92"/>
        <item m="1" x="381"/>
        <item m="1" x="460"/>
        <item m="1" x="544"/>
        <item m="1" x="18"/>
        <item m="1" x="121"/>
        <item m="1" x="411"/>
        <item m="1" x="577"/>
        <item m="1" x="199"/>
        <item m="1" x="143"/>
        <item m="1" x="227"/>
        <item m="1" x="155"/>
        <item m="1" x="542"/>
        <item m="1" x="14"/>
        <item m="1" x="559"/>
        <item m="1" x="221"/>
        <item m="1" x="295"/>
        <item m="1" x="436"/>
        <item m="1" x="524"/>
        <item m="1" x="466"/>
        <item m="1" x="546"/>
        <item m="1" x="180"/>
        <item m="1" x="114"/>
        <item m="1" x="330"/>
        <item m="1" x="196"/>
        <item m="1" x="216"/>
        <item m="1" x="356"/>
        <item m="1" x="232"/>
        <item m="1" x="371"/>
        <item m="1" x="443"/>
        <item m="1" x="322"/>
        <item m="1" x="478"/>
        <item m="1" x="147"/>
        <item m="1" x="320"/>
        <item m="1" x="562"/>
        <item m="1" x="350"/>
        <item m="1" x="74"/>
        <item m="1" x="219"/>
        <item m="1" x="416"/>
        <item m="1" x="496"/>
        <item m="1" x="60"/>
        <item m="1" x="203"/>
        <item m="1" x="442"/>
        <item m="1" x="165"/>
        <item m="1" x="245"/>
        <item m="1" x="310"/>
        <item m="1" x="319"/>
        <item m="1" x="392"/>
        <item m="1" x="27"/>
        <item m="1" x="365"/>
        <item m="1" x="307"/>
        <item m="1" x="427"/>
        <item m="1" x="96"/>
        <item m="1" x="589"/>
        <item m="1" x="292"/>
        <item m="1" x="377"/>
        <item m="1" x="256"/>
        <item m="1" x="430"/>
        <item m="1" x="244"/>
        <item m="1" x="306"/>
        <item m="1" x="380"/>
        <item m="1" x="470"/>
        <item m="1" x="548"/>
        <item m="1" x="558"/>
        <item m="1" x="407"/>
        <item m="1" x="361"/>
        <item m="1" x="101"/>
        <item m="1" x="259"/>
        <item m="1" x="567"/>
        <item m="1" x="333"/>
        <item m="1" x="599"/>
        <item m="1" x="175"/>
        <item m="1" x="504"/>
        <item m="1" x="159"/>
        <item m="1" x="252"/>
        <item m="1" x="318"/>
        <item m="1" x="390"/>
        <item m="1" x="120"/>
        <item m="1" x="52"/>
        <item m="1" x="348"/>
        <item m="1" x="469"/>
        <item m="1" x="595"/>
        <item m="1" x="287"/>
        <item m="1" x="539"/>
        <item m="1" x="111"/>
        <item m="1" x="329"/>
        <item m="1" x="79"/>
        <item m="1" x="162"/>
        <item m="1" x="451"/>
        <item m="1" x="284"/>
        <item m="1" x="200"/>
        <item m="1" x="339"/>
        <item m="1" x="367"/>
        <item m="1" x="183"/>
        <item m="1" x="401"/>
        <item m="1" x="190"/>
        <item m="1" x="119"/>
        <item m="1" x="290"/>
        <item m="1" x="63"/>
        <item m="1" x="237"/>
        <item m="1" x="6"/>
        <item m="1" x="243"/>
        <item m="1" x="205"/>
        <item m="1" x="67"/>
        <item m="1" x="58"/>
        <item m="1" x="20"/>
        <item m="1" x="538"/>
        <item m="1" x="32"/>
        <item m="1" x="414"/>
        <item m="1" x="555"/>
        <item m="1" x="424"/>
        <item m="1" x="286"/>
        <item m="1" x="344"/>
        <item m="1" x="66"/>
        <item m="1" x="77"/>
        <item m="1" x="495"/>
        <item m="1" x="214"/>
        <item m="1" x="415"/>
        <item m="1" x="400"/>
        <item m="1" x="140"/>
        <item m="1" x="262"/>
        <item m="1" x="325"/>
        <item m="1" x="491"/>
        <item m="1" x="425"/>
        <item m="1" x="484"/>
        <item m="1" x="509"/>
        <item m="1" x="152"/>
        <item m="1" x="235"/>
        <item m="1" x="531"/>
        <item m="1" x="537"/>
        <item m="1" x="187"/>
        <item m="1" x="267"/>
        <item m="1" x="565"/>
        <item m="1" x="519"/>
        <item m="1" x="86"/>
        <item m="1" x="160"/>
        <item m="1" x="376"/>
        <item m="1" x="311"/>
        <item m="1" x="19"/>
        <item m="1" x="184"/>
        <item m="1" x="409"/>
        <item m="1" x="572"/>
        <item m="1" x="347"/>
        <item m="1" x="428"/>
        <item m="1" x="363"/>
        <item m="1" x="223"/>
        <item m="1" x="296"/>
        <item m="1" x="379"/>
        <item m="1" x="467"/>
        <item m="1" x="125"/>
        <item m="1" x="48"/>
        <item m="1" x="358"/>
        <item m="1" x="373"/>
        <item m="1" x="300"/>
        <item m="1" x="488"/>
        <item m="1" x="55"/>
        <item m="1" x="423"/>
        <item m="1" x="272"/>
        <item m="1" x="156"/>
        <item m="1" x="240"/>
        <item m="1" x="472"/>
        <item m="1" x="50"/>
        <item m="1" x="512"/>
        <item m="1" x="289"/>
        <item m="1" x="525"/>
        <item m="1" x="236"/>
        <item m="1" x="378"/>
        <item m="1" x="248"/>
        <item m="1" x="81"/>
        <item m="1" x="115"/>
        <item m="1" x="153"/>
        <item m="1" x="4"/>
        <item m="1" x="89"/>
        <item m="1" x="510"/>
        <item m="1" x="479"/>
        <item m="1" x="34"/>
        <item m="1" x="520"/>
        <item m="1" x="556"/>
        <item m="1" x="150"/>
        <item m="1" x="233"/>
        <item m="1" x="372"/>
        <item m="1" x="404"/>
        <item m="1" x="452"/>
        <item m="1" x="202"/>
        <item m="1" x="464"/>
        <item m="1" x="487"/>
        <item m="1" x="279"/>
        <item m="1" x="107"/>
        <item m="1" x="441"/>
        <item m="1" x="563"/>
        <item m="1" x="45"/>
        <item m="1" x="579"/>
        <item m="1" x="569"/>
        <item m="1" x="64"/>
        <item m="1" x="132"/>
        <item m="1" x="174"/>
        <item m="1" x="352"/>
        <item m="1" x="28"/>
        <item m="1" x="76"/>
        <item m="1" x="439"/>
        <item m="1" x="276"/>
        <item m="1" x="26"/>
        <item m="1" x="402"/>
        <item m="1" x="527"/>
        <item m="1" x="561"/>
        <item m="1" x="273"/>
        <item m="1" x="263"/>
        <item m="1" x="515"/>
        <item m="1" x="68"/>
        <item m="1" x="177"/>
        <item m="1" x="257"/>
        <item m="1" x="324"/>
        <item m="1" x="149"/>
        <item m="1" x="2"/>
        <item m="1" x="123"/>
        <item m="1" x="163"/>
        <item m="1" x="11"/>
        <item m="1" x="463"/>
        <item m="1" x="285"/>
        <item m="1" x="450"/>
        <item m="1" x="193"/>
        <item m="1" x="304"/>
        <item m="1" x="578"/>
        <item m="1" x="601"/>
        <item m="1" x="475"/>
        <item m="1" x="410"/>
        <item m="1" x="337"/>
        <item m="1" x="503"/>
        <item m="1" x="131"/>
        <item m="1" x="314"/>
        <item m="1" x="141"/>
        <item m="1" x="502"/>
        <item m="1" x="541"/>
        <item m="1" x="97"/>
        <item m="1" x="73"/>
        <item m="1" x="35"/>
        <item m="1" x="116"/>
        <item m="1" x="5"/>
        <item m="1" x="49"/>
        <item m="1" x="241"/>
        <item m="1" x="336"/>
        <item m="1" x="455"/>
        <item m="1" x="204"/>
        <item m="1" x="384"/>
        <item m="1" x="593"/>
        <item m="1" x="500"/>
        <item m="1" x="293"/>
        <item m="1" x="360"/>
        <item m="1" x="522"/>
        <item m="1" x="270"/>
        <item m="1" x="532"/>
        <item m="1" x="568"/>
        <item m="1" x="195"/>
        <item m="1" x="281"/>
        <item m="1" x="94"/>
        <item m="1" x="375"/>
        <item m="1" x="590"/>
        <item m="1" x="396"/>
        <item m="1" x="481"/>
        <item m="1" x="99"/>
        <item m="1" x="173"/>
        <item m="1" x="43"/>
        <item m="1" x="576"/>
        <item m="1" x="316"/>
        <item m="1" x="25"/>
        <item m="1" x="40"/>
        <item m="1" x="447"/>
        <item m="1" x="7"/>
        <item m="1" x="420"/>
        <item m="1" x="540"/>
        <item m="1" x="22"/>
        <item m="1" x="499"/>
        <item m="1" x="179"/>
        <item m="1" x="260"/>
        <item m="1" x="80"/>
        <item m="1" x="444"/>
        <item m="1" x="87"/>
        <item m="1" x="280"/>
        <item m="1" x="334"/>
        <item m="1" x="185"/>
        <item m="1" x="113"/>
        <item m="1" x="269"/>
        <item m="1" x="461"/>
        <item m="1" x="212"/>
        <item m="1" x="254"/>
        <item m="1" x="394"/>
        <item m="1" x="552"/>
        <item m="1" x="231"/>
        <item m="1" x="85"/>
        <item m="1" x="298"/>
        <item m="1" x="340"/>
        <item m="1" x="368"/>
        <item m="1" x="476"/>
        <item m="1" x="518"/>
        <item m="1" x="403"/>
        <item m="1" x="253"/>
        <item m="1" x="351"/>
        <item m="1" x="157"/>
        <item m="1" x="274"/>
        <item m="1" x="15"/>
        <item m="1" x="91"/>
        <item m="1" x="171"/>
        <item m="1" x="429"/>
        <item m="1" x="473"/>
        <item m="1" x="225"/>
        <item m="1" x="374"/>
        <item m="1" x="13"/>
        <item m="1" x="250"/>
        <item m="1" x="513"/>
        <item m="1" x="104"/>
        <item m="1" x="222"/>
        <item m="1" x="37"/>
        <item m="1" x="249"/>
        <item m="1" x="288"/>
        <item m="1" x="433"/>
        <item m="1" x="406"/>
        <item m="1" x="454"/>
        <item m="1" x="346"/>
        <item m="1" x="70"/>
        <item m="1" x="258"/>
        <item m="1" x="234"/>
        <item m="1" x="588"/>
        <item m="1" x="46"/>
        <item m="1" x="413"/>
        <item m="1" x="9"/>
        <item m="1" x="211"/>
        <item m="1" x="192"/>
        <item m="1" x="172"/>
        <item m="1" x="42"/>
        <item m="1" x="397"/>
        <item m="1" x="103"/>
        <item m="1" x="207"/>
        <item m="1" x="261"/>
        <item m="1" x="417"/>
        <item m="1" x="110"/>
        <item m="1" x="166"/>
        <item m="1" x="486"/>
        <item m="1" x="246"/>
        <item m="1" x="146"/>
        <item m="1" x="191"/>
        <item m="1" x="142"/>
        <item m="1" x="226"/>
        <item m="1" x="297"/>
        <item m="1" x="560"/>
        <item m="1" x="239"/>
        <item m="1" x="303"/>
        <item m="1" x="514"/>
        <item m="1" x="526"/>
        <item m="1" x="39"/>
        <item m="1" x="493"/>
        <item m="1" x="571"/>
        <item m="1" x="90"/>
        <item m="1" x="549"/>
        <item m="1" x="492"/>
        <item m="1" x="456"/>
        <item m="1" x="218"/>
        <item m="1" x="323"/>
        <item m="1" x="128"/>
        <item m="1" x="566"/>
        <item m="1" x="321"/>
        <item m="1" x="440"/>
        <item m="1" x="536"/>
        <item m="1" x="228"/>
        <item m="1" x="389"/>
        <item m="1" x="517"/>
        <item m="1" x="83"/>
        <item m="1" x="8"/>
        <item m="1" x="398"/>
        <item m="1" x="437"/>
        <item m="1" x="302"/>
        <item m="1" x="242"/>
        <item m="1" x="283"/>
        <item m="1" x="501"/>
        <item m="1" x="169"/>
        <item m="1" x="385"/>
        <item m="1" x="23"/>
        <item m="1" x="584"/>
        <item m="1" x="95"/>
        <item m="1" x="137"/>
        <item m="1" x="47"/>
        <item m="1" x="88"/>
        <item m="1" x="59"/>
        <item m="1" x="136"/>
        <item m="1" x="343"/>
        <item m="1" x="133"/>
        <item m="1" x="213"/>
        <item m="1" x="255"/>
        <item m="1" x="148"/>
        <item m="1" x="580"/>
        <item m="1" x="84"/>
        <item m="1" x="598"/>
        <item m="1" x="209"/>
        <item m="1" x="448"/>
        <item m="1" x="575"/>
        <item m="1" x="550"/>
        <item m="1" x="458"/>
        <item m="1" x="388"/>
        <item m="1" x="326"/>
        <item m="1" x="446"/>
        <item m="1" x="198"/>
        <item m="1" x="494"/>
        <item m="1" x="383"/>
        <item m="1" x="328"/>
        <item m="1" x="603"/>
        <item m="1" x="587"/>
        <item m="1" x="294"/>
        <item m="1" x="435"/>
        <item m="1" x="557"/>
        <item m="1" x="282"/>
        <item m="1" x="453"/>
        <item m="1" x="178"/>
        <item m="1" x="78"/>
        <item m="1" x="161"/>
        <item m="1" x="459"/>
        <item m="1" x="465"/>
        <item m="1" x="268"/>
        <item m="1" x="56"/>
        <item m="1" x="10"/>
        <item m="1" x="93"/>
        <item m="1" x="506"/>
        <item m="1" x="477"/>
        <item m="1" x="122"/>
        <item m="1" x="449"/>
        <item m="1" x="545"/>
        <item m="1" x="100"/>
        <item m="1" x="353"/>
        <item m="1" x="30"/>
        <item m="1" x="106"/>
        <item m="1" x="145"/>
        <item m="1" x="229"/>
        <item m="1" x="369"/>
        <item m="1" x="543"/>
        <item m="1" x="154"/>
        <item m="1" x="44"/>
        <item m="1" x="445"/>
        <item m="1" x="197"/>
        <item m="1" x="434"/>
        <item m="1" x="508"/>
        <item m="1" x="217"/>
        <item m="1" x="71"/>
        <item m="1" x="33"/>
        <item m="1" x="405"/>
        <item m="1" x="194"/>
        <item m="1" x="215"/>
        <item m="1" x="432"/>
        <item m="1" x="108"/>
        <item m="1" x="489"/>
        <item m="1" x="530"/>
        <item m="1" x="462"/>
        <item m="1" x="581"/>
        <item m="1" x="299"/>
        <item m="1" x="391"/>
        <item m="1" x="53"/>
        <item m="1" x="349"/>
        <item m="1" x="75"/>
        <item m="1" x="238"/>
        <item m="1" x="38"/>
        <item m="1" x="117"/>
        <item m="1" x="305"/>
        <item m="1" x="130"/>
        <item m="1" x="206"/>
        <item m="1" x="124"/>
        <item m="1" x="498"/>
        <item m="1" x="583"/>
        <item m="1" x="507"/>
        <item m="1" x="591"/>
        <item m="1" x="112"/>
        <item m="1" x="582"/>
        <item m="1" x="57"/>
        <item m="1" x="167"/>
        <item m="1" x="345"/>
        <item m="1" x="54"/>
        <item m="1" x="309"/>
        <item m="1" x="51"/>
        <item m="1" x="421"/>
        <item m="1" x="182"/>
        <item m="1" x="224"/>
        <item m="1" x="313"/>
        <item m="1" x="362"/>
        <item m="1" x="36"/>
        <item m="1" x="516"/>
        <item m="1" x="471"/>
        <item m="1" x="264"/>
        <item m="1" x="600"/>
        <item m="1" x="291"/>
        <item m="1" x="118"/>
        <item m="1" x="189"/>
        <item m="1" x="585"/>
        <item m="1" x="170"/>
        <item m="1" x="387"/>
        <item m="1" x="574"/>
        <item m="1" x="534"/>
        <item m="1" x="426"/>
        <item m="1" x="594"/>
        <item m="1" x="490"/>
        <item m="1" x="69"/>
        <item m="1" x="482"/>
        <item m="1" x="431"/>
        <item m="1" x="553"/>
        <item m="1" x="31"/>
        <item m="1" x="278"/>
        <item m="1" x="370"/>
        <item m="1" x="341"/>
        <item m="1" x="265"/>
        <item m="1" x="135"/>
        <item m="1" x="412"/>
        <item m="1" x="277"/>
        <item m="1" x="127"/>
        <item m="1" x="17"/>
        <item m="1" x="393"/>
        <item m="1" x="366"/>
        <item m="1" x="602"/>
        <item m="1" x="275"/>
        <item m="1" x="201"/>
        <item m="1" x="317"/>
        <item m="1" x="327"/>
        <item m="1" x="331"/>
        <item m="1" x="98"/>
        <item m="1" x="251"/>
        <item m="1" x="597"/>
        <item m="1" x="105"/>
        <item m="1" x="181"/>
        <item m="1" x="485"/>
        <item m="1" x="511"/>
        <item m="1" x="5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8">
        <item m="1" x="254"/>
        <item m="1" x="183"/>
        <item m="1" x="157"/>
        <item m="1" x="145"/>
        <item m="1" x="93"/>
        <item m="1" x="188"/>
        <item m="1" x="91"/>
        <item m="1" x="81"/>
        <item m="1" x="14"/>
        <item m="1" x="215"/>
        <item m="1" x="113"/>
        <item m="1" x="75"/>
        <item m="1" x="135"/>
        <item m="1" x="38"/>
        <item m="1" x="118"/>
        <item m="1" x="259"/>
        <item m="1" x="106"/>
        <item m="1" x="265"/>
        <item m="1" x="280"/>
        <item m="1" x="78"/>
        <item m="1" x="271"/>
        <item m="1" x="47"/>
        <item m="1" x="16"/>
        <item m="1" x="186"/>
        <item m="1" x="221"/>
        <item m="1" x="200"/>
        <item m="1" x="208"/>
        <item m="1" x="64"/>
        <item m="1" x="87"/>
        <item m="1" x="229"/>
        <item m="1" x="136"/>
        <item m="1" x="292"/>
        <item m="1" x="176"/>
        <item m="1" x="205"/>
        <item m="1" x="98"/>
        <item m="1" x="220"/>
        <item m="1" x="67"/>
        <item m="1" x="132"/>
        <item m="1" x="29"/>
        <item m="1" x="238"/>
        <item m="1" x="257"/>
        <item m="1" x="13"/>
        <item m="1" x="84"/>
        <item m="1" x="52"/>
        <item m="1" x="114"/>
        <item m="1" x="1"/>
        <item m="1" x="43"/>
        <item m="1" x="233"/>
        <item m="1" x="89"/>
        <item m="1" x="129"/>
        <item m="1" x="169"/>
        <item m="1" x="39"/>
        <item m="1" x="144"/>
        <item m="1" x="177"/>
        <item m="1" x="104"/>
        <item m="1" x="127"/>
        <item m="1" x="191"/>
        <item m="1" x="276"/>
        <item m="1" x="187"/>
        <item m="1" x="167"/>
        <item m="1" x="270"/>
        <item m="1" x="258"/>
        <item m="1" x="123"/>
        <item m="1" x="134"/>
        <item m="1" x="170"/>
        <item m="1" x="28"/>
        <item m="1" x="185"/>
        <item m="1" x="237"/>
        <item m="1" x="59"/>
        <item m="1" x="240"/>
        <item m="1" x="266"/>
        <item m="1" x="250"/>
        <item m="1" x="36"/>
        <item m="1" x="23"/>
        <item m="1" x="279"/>
        <item m="1" x="9"/>
        <item m="1" x="17"/>
        <item m="1" x="225"/>
        <item m="1" x="65"/>
        <item m="1" x="35"/>
        <item m="1" x="206"/>
        <item m="1" x="148"/>
        <item m="1" x="218"/>
        <item m="1" x="152"/>
        <item m="1" x="139"/>
        <item m="1" x="189"/>
        <item m="1" x="207"/>
        <item m="1" x="42"/>
        <item m="1" x="55"/>
        <item m="1" x="60"/>
        <item m="1" x="54"/>
        <item m="1" x="264"/>
        <item m="1" x="24"/>
        <item m="1" x="224"/>
        <item m="1" x="277"/>
        <item m="1" x="267"/>
        <item m="1" x="15"/>
        <item m="1" x="49"/>
        <item m="1" x="256"/>
        <item m="1" x="44"/>
        <item m="1" x="61"/>
        <item m="1" x="18"/>
        <item m="1" x="27"/>
        <item m="1" x="203"/>
        <item m="1" x="74"/>
        <item m="1" x="112"/>
        <item m="1" x="57"/>
        <item m="1" x="131"/>
        <item m="1" x="109"/>
        <item m="1" x="62"/>
        <item m="1" x="293"/>
        <item m="1" x="194"/>
        <item m="1" x="204"/>
        <item m="1" x="166"/>
        <item m="1" x="198"/>
        <item m="1" x="275"/>
        <item m="1" x="96"/>
        <item m="1" x="273"/>
        <item m="1" x="284"/>
        <item m="1" x="222"/>
        <item m="1" x="262"/>
        <item m="1" x="223"/>
        <item m="1" x="70"/>
        <item m="1" x="251"/>
        <item m="1" x="294"/>
        <item m="1" x="253"/>
        <item m="1" x="12"/>
        <item m="1" x="41"/>
        <item m="1" x="281"/>
        <item m="1" x="25"/>
        <item m="1" x="283"/>
        <item m="1" x="143"/>
        <item m="1" x="232"/>
        <item m="1" x="53"/>
        <item m="1" x="116"/>
        <item m="1" x="226"/>
        <item m="1" x="291"/>
        <item m="1" x="260"/>
        <item m="1" x="171"/>
        <item m="1" x="181"/>
        <item m="1" x="111"/>
        <item m="1" x="164"/>
        <item m="1" x="239"/>
        <item m="1" x="272"/>
        <item m="1" x="82"/>
        <item m="1" x="248"/>
        <item m="1" x="231"/>
        <item m="1" x="72"/>
        <item m="1" x="178"/>
        <item m="1" x="162"/>
        <item m="1" x="99"/>
        <item m="1" x="2"/>
        <item m="1" x="156"/>
        <item m="1" x="173"/>
        <item m="1" x="235"/>
        <item m="1" x="31"/>
        <item m="1" x="126"/>
        <item m="1" x="196"/>
        <item m="1" x="133"/>
        <item m="1" x="209"/>
        <item m="1" x="105"/>
        <item m="1" x="163"/>
        <item m="1" x="19"/>
        <item m="1" x="79"/>
        <item m="1" x="247"/>
        <item m="1" x="216"/>
        <item m="1" x="201"/>
        <item m="1" x="193"/>
        <item m="1" x="161"/>
        <item m="1" x="97"/>
        <item m="1" x="179"/>
        <item m="1" x="76"/>
        <item m="1" x="128"/>
        <item m="1" x="282"/>
        <item m="1" x="242"/>
        <item m="1" x="71"/>
        <item m="1" x="94"/>
        <item m="1" x="297"/>
        <item m="1" x="168"/>
        <item m="1" x="296"/>
        <item m="1" x="214"/>
        <item m="1" x="261"/>
        <item m="1" x="213"/>
        <item m="1" x="249"/>
        <item m="1" x="21"/>
        <item m="1" x="34"/>
        <item m="1" x="6"/>
        <item m="1" x="80"/>
        <item m="1" x="138"/>
        <item m="1" x="122"/>
        <item m="1" x="287"/>
        <item m="1" x="263"/>
        <item m="1" x="141"/>
        <item m="1" x="212"/>
        <item m="1" x="51"/>
        <item m="1" x="230"/>
        <item m="1" x="46"/>
        <item m="1" x="165"/>
        <item m="1" x="243"/>
        <item m="1" x="32"/>
        <item m="1" x="90"/>
        <item m="1" x="245"/>
        <item m="1" x="155"/>
        <item m="1" x="63"/>
        <item m="1" x="120"/>
        <item m="1" x="288"/>
        <item m="1" x="290"/>
        <item m="1" x="202"/>
        <item m="1" x="22"/>
        <item m="1" x="45"/>
        <item m="1" x="119"/>
        <item m="1" x="10"/>
        <item m="1" x="255"/>
        <item m="1" x="11"/>
        <item m="1" x="153"/>
        <item m="1" x="246"/>
        <item m="1" x="66"/>
        <item m="1" x="150"/>
        <item m="1" x="69"/>
        <item m="1" x="289"/>
        <item m="1" x="40"/>
        <item m="1" x="211"/>
        <item m="1" x="108"/>
        <item m="1" x="147"/>
        <item m="1" x="101"/>
        <item m="1" x="174"/>
        <item m="1" x="125"/>
        <item m="1" x="154"/>
        <item m="1" x="30"/>
        <item m="1" x="117"/>
        <item m="1" x="227"/>
        <item m="1" x="192"/>
        <item m="1" x="50"/>
        <item m="1" x="86"/>
        <item m="1" x="190"/>
        <item m="1" x="236"/>
        <item m="1" x="244"/>
        <item m="1" x="210"/>
        <item m="1" x="33"/>
        <item m="1" x="278"/>
        <item m="1" x="295"/>
        <item m="1" x="184"/>
        <item m="1" x="58"/>
        <item m="1" x="241"/>
        <item m="1" x="160"/>
        <item m="1" x="110"/>
        <item m="1" x="7"/>
        <item m="1" x="285"/>
        <item m="1" x="158"/>
        <item m="1" x="182"/>
        <item m="1" x="103"/>
        <item m="1" x="48"/>
        <item m="1" x="83"/>
        <item m="1" x="151"/>
        <item m="1" x="77"/>
        <item m="1" x="137"/>
        <item m="1" x="142"/>
        <item m="1" x="4"/>
        <item m="1" x="219"/>
        <item m="1" x="20"/>
        <item m="1" x="195"/>
        <item m="1" x="37"/>
        <item m="1" x="3"/>
        <item m="1" x="115"/>
        <item m="1" x="8"/>
        <item m="1" x="73"/>
        <item m="1" x="172"/>
        <item m="1" x="175"/>
        <item m="1" x="92"/>
        <item m="1" x="26"/>
        <item m="1" x="88"/>
        <item m="1" x="140"/>
        <item m="1" x="5"/>
        <item m="1" x="85"/>
        <item m="1" x="146"/>
        <item m="1" x="121"/>
        <item m="1" x="107"/>
        <item m="1" x="130"/>
        <item m="1" x="274"/>
        <item m="1" x="149"/>
        <item m="1" x="95"/>
        <item m="1" x="102"/>
        <item m="1" x="228"/>
        <item m="1" x="268"/>
        <item m="1" x="124"/>
        <item m="1" x="180"/>
        <item m="1" x="269"/>
        <item m="1" x="217"/>
        <item m="1" x="56"/>
        <item m="1" x="68"/>
        <item m="1" x="100"/>
        <item m="1" x="199"/>
        <item m="1" x="234"/>
        <item m="1" x="159"/>
        <item m="1" x="252"/>
        <item m="1" x="286"/>
        <item m="1" x="1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8">
        <item n="-" x="0"/>
        <item m="1" x="127"/>
        <item m="1" x="10"/>
        <item m="1" x="52"/>
        <item m="1" x="90"/>
        <item m="1" x="176"/>
        <item m="1" x="144"/>
        <item m="1" x="111"/>
        <item m="1" x="66"/>
        <item m="1" x="39"/>
        <item m="1" x="31"/>
        <item m="1" x="91"/>
        <item m="1" x="157"/>
        <item m="1" x="70"/>
        <item m="1" x="34"/>
        <item m="1" x="101"/>
        <item m="1" x="118"/>
        <item m="1" x="27"/>
        <item m="1" x="58"/>
        <item m="1" x="61"/>
        <item m="1" x="77"/>
        <item m="1" x="134"/>
        <item m="1" x="48"/>
        <item m="1" x="56"/>
        <item m="1" x="113"/>
        <item m="1" x="142"/>
        <item m="1" x="139"/>
        <item m="1" x="20"/>
        <item m="1" x="67"/>
        <item m="1" x="171"/>
        <item m="1" x="54"/>
        <item m="1" x="9"/>
        <item m="1" x="165"/>
        <item m="1" x="83"/>
        <item m="1" x="5"/>
        <item m="1" x="120"/>
        <item m="1" x="30"/>
        <item m="1" x="108"/>
        <item m="1" x="146"/>
        <item m="1" x="94"/>
        <item m="1" x="168"/>
        <item m="1" x="87"/>
        <item m="1" x="147"/>
        <item m="1" x="122"/>
        <item m="1" x="128"/>
        <item m="1" x="100"/>
        <item m="1" x="136"/>
        <item m="1" x="140"/>
        <item m="1" x="85"/>
        <item m="1" x="18"/>
        <item m="1" x="25"/>
        <item m="1" x="130"/>
        <item m="1" x="126"/>
        <item m="1" x="132"/>
        <item m="1" x="96"/>
        <item m="1" x="135"/>
        <item m="1" x="41"/>
        <item m="1" x="160"/>
        <item m="1" x="4"/>
        <item m="1" x="156"/>
        <item m="1" x="75"/>
        <item m="1" x="102"/>
        <item m="1" x="88"/>
        <item m="1" x="57"/>
        <item m="1" x="141"/>
        <item m="1" x="138"/>
        <item m="1" x="24"/>
        <item m="1" x="177"/>
        <item m="1" x="81"/>
        <item m="1" x="93"/>
        <item m="1" x="175"/>
        <item m="1" x="98"/>
        <item m="1" x="43"/>
        <item m="1" x="38"/>
        <item m="1" x="17"/>
        <item m="1" x="163"/>
        <item m="1" x="35"/>
        <item m="1" x="84"/>
        <item m="1" x="121"/>
        <item m="1" x="95"/>
        <item m="1" x="26"/>
        <item m="1" x="29"/>
        <item m="1" x="173"/>
        <item m="1" x="89"/>
        <item m="1" x="64"/>
        <item m="1" x="107"/>
        <item m="1" x="19"/>
        <item m="1" x="1"/>
        <item m="1" x="68"/>
        <item m="1" x="158"/>
        <item m="1" x="7"/>
        <item m="1" x="16"/>
        <item m="1" x="60"/>
        <item m="1" x="105"/>
        <item m="1" x="170"/>
        <item m="1" x="164"/>
        <item m="1" x="86"/>
        <item m="1" x="8"/>
        <item m="1" x="15"/>
        <item m="1" x="53"/>
        <item m="1" x="82"/>
        <item m="1" x="174"/>
        <item m="1" x="103"/>
        <item m="1" x="42"/>
        <item m="1" x="166"/>
        <item m="1" x="117"/>
        <item m="1" x="33"/>
        <item m="1" x="73"/>
        <item m="1" x="99"/>
        <item m="1" x="45"/>
        <item m="1" x="32"/>
        <item m="1" x="55"/>
        <item m="1" x="115"/>
        <item m="1" x="36"/>
        <item m="1" x="152"/>
        <item m="1" x="65"/>
        <item m="1" x="50"/>
        <item m="1" x="106"/>
        <item m="1" x="149"/>
        <item m="1" x="40"/>
        <item m="1" x="44"/>
        <item m="1" x="46"/>
        <item m="1" x="162"/>
        <item m="1" x="109"/>
        <item m="1" x="124"/>
        <item m="1" x="112"/>
        <item m="1" x="133"/>
        <item m="1" x="6"/>
        <item m="1" x="22"/>
        <item m="1" x="137"/>
        <item m="1" x="74"/>
        <item m="1" x="153"/>
        <item m="1" x="151"/>
        <item m="1" x="72"/>
        <item m="1" x="114"/>
        <item m="1" x="131"/>
        <item m="1" x="12"/>
        <item m="1" x="3"/>
        <item m="1" x="37"/>
        <item m="1" x="62"/>
        <item m="1" x="125"/>
        <item m="1" x="79"/>
        <item m="1" x="169"/>
        <item m="1" x="159"/>
        <item m="1" x="92"/>
        <item m="1" x="172"/>
        <item m="1" x="78"/>
        <item m="1" x="161"/>
        <item m="1" x="13"/>
        <item m="1" x="59"/>
        <item m="1" x="28"/>
        <item m="1" x="104"/>
        <item m="1" x="80"/>
        <item m="1" x="49"/>
        <item m="1" x="167"/>
        <item m="1" x="69"/>
        <item m="1" x="63"/>
        <item m="1" x="2"/>
        <item m="1" x="110"/>
        <item m="1" x="143"/>
        <item m="1" x="116"/>
        <item m="1" x="145"/>
        <item m="1" x="155"/>
        <item m="1" x="51"/>
        <item m="1" x="76"/>
        <item m="1" x="148"/>
        <item m="1" x="119"/>
        <item m="1" x="11"/>
        <item m="1" x="123"/>
        <item m="1" x="97"/>
        <item m="1" x="71"/>
        <item m="1" x="47"/>
        <item m="1" x="154"/>
        <item m="1" x="21"/>
        <item m="1" x="150"/>
        <item m="1" x="23"/>
        <item m="1" x="129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m="1" x="1"/>
        <item m="1" x="2"/>
        <item m="1" x="30"/>
        <item m="1" x="17"/>
        <item m="1" x="9"/>
        <item m="1" x="6"/>
        <item m="1" x="31"/>
        <item m="1" x="26"/>
        <item m="1" x="15"/>
        <item m="1" x="4"/>
        <item m="1" x="12"/>
        <item m="1" x="5"/>
        <item m="1" x="3"/>
        <item m="1" x="11"/>
        <item m="1" x="27"/>
        <item m="1" x="13"/>
        <item m="1" x="14"/>
        <item m="1" x="10"/>
        <item m="1" x="24"/>
        <item m="1" x="28"/>
        <item m="1" x="19"/>
        <item m="1" x="18"/>
        <item m="1" x="25"/>
        <item x="0"/>
        <item m="1" x="20"/>
        <item m="1" x="16"/>
        <item m="1" x="29"/>
        <item m="1" x="23"/>
        <item m="1" x="21"/>
        <item m="1" x="7"/>
        <item m="1" x="22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0"/>
        <item m="1" x="5"/>
        <item m="1" x="9"/>
        <item m="1" x="3"/>
        <item m="1" x="6"/>
        <item x="0"/>
        <item m="1" x="1"/>
        <item m="1" x="4"/>
        <item m="1" x="8"/>
        <item m="1"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7"/>
    <field x="9"/>
  </rowFields>
  <rowItems count="2">
    <i>
      <x v="604"/>
      <x v="297"/>
      <x/>
      <x/>
      <x/>
      <x v="23"/>
      <x v="5"/>
      <x v="13"/>
    </i>
    <i t="grand">
      <x/>
    </i>
  </rowItems>
  <colItems count="1">
    <i/>
  </colItems>
  <dataFields count="1">
    <dataField name="Soma de VALOR " fld="6" baseField="9" baseItem="0" numFmtId="164"/>
  </dataFields>
  <formats count="2"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DIN_LANC_HORAS" cacheId="1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12:M14" firstHeaderRow="0" firstDataRow="1" firstDataCol="5"/>
  <pivotFields count="26">
    <pivotField axis="axisRow" compact="0" outline="0" showAll="0" defaultSubtotal="0">
      <items count="65">
        <item m="1" x="16"/>
        <item m="1" x="23"/>
        <item m="1" x="60"/>
        <item m="1" x="7"/>
        <item m="1" x="56"/>
        <item m="1" x="38"/>
        <item m="1" x="2"/>
        <item m="1" x="54"/>
        <item m="1" x="62"/>
        <item m="1" x="11"/>
        <item m="1" x="44"/>
        <item m="1" x="50"/>
        <item m="1" x="5"/>
        <item m="1" x="22"/>
        <item m="1" x="33"/>
        <item m="1" x="10"/>
        <item m="1" x="43"/>
        <item m="1" x="25"/>
        <item m="1" x="58"/>
        <item m="1" x="12"/>
        <item m="1" x="46"/>
        <item m="1" x="61"/>
        <item m="1" x="14"/>
        <item m="1" x="48"/>
        <item m="1" x="27"/>
        <item m="1" x="63"/>
        <item m="1" x="37"/>
        <item m="1" x="17"/>
        <item m="1" x="49"/>
        <item m="1" x="28"/>
        <item m="1" x="1"/>
        <item m="1" x="39"/>
        <item m="1" x="19"/>
        <item m="1" x="52"/>
        <item m="1" x="29"/>
        <item m="1" x="4"/>
        <item m="1" x="40"/>
        <item m="1" x="20"/>
        <item m="1" x="53"/>
        <item m="1" x="30"/>
        <item m="1" x="8"/>
        <item m="1" x="41"/>
        <item m="1" x="21"/>
        <item m="1" x="55"/>
        <item m="1" x="32"/>
        <item m="1" x="9"/>
        <item m="1" x="42"/>
        <item m="1" x="24"/>
        <item m="1" x="57"/>
        <item m="1" x="34"/>
        <item m="1" x="45"/>
        <item m="1" x="26"/>
        <item m="1" x="59"/>
        <item m="1" x="35"/>
        <item m="1" x="13"/>
        <item m="1" x="47"/>
        <item m="1" x="36"/>
        <item m="1" x="15"/>
        <item m="1" x="64"/>
        <item m="1" x="18"/>
        <item m="1" x="51"/>
        <item m="1" x="3"/>
        <item m="1" x="3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m="1" x="6"/>
        <item m="1" x="21"/>
        <item m="1" x="9"/>
        <item m="1" x="13"/>
        <item m="1" x="16"/>
        <item m="1" x="3"/>
        <item m="1" x="7"/>
        <item m="1" x="10"/>
        <item m="1" x="4"/>
        <item m="1" x="5"/>
        <item m="1" x="17"/>
        <item m="1" x="2"/>
        <item m="1" x="19"/>
        <item m="1" x="18"/>
        <item m="1" x="14"/>
        <item m="1" x="8"/>
        <item m="1" x="1"/>
        <item m="1" x="12"/>
        <item m="1" x="20"/>
        <item m="1" x="11"/>
        <item m="1" x="1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2"/>
    <field x="4"/>
    <field x="25"/>
  </rowFields>
  <rowItems count="2">
    <i>
      <x v="64"/>
      <x/>
      <x v="2"/>
      <x v="21"/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HORAS TR.MANHA" fld="12" baseField="0" baseItem="0" numFmtId="165"/>
    <dataField name="Soma de HORAS TR.TARDE" fld="13" baseField="0" baseItem="0" numFmtId="165"/>
    <dataField name="Soma de TOTAL H.N" fld="9" baseField="0" baseItem="0" numFmtId="165"/>
    <dataField name="Soma de TOTAL H.E" fld="10" baseField="0" baseItem="0" numFmtId="165"/>
    <dataField name="Soma de TOTAL GERAL NORMAL" fld="22" baseField="25" baseItem="2" numFmtId="164"/>
    <dataField name="Soma de TOTAL GERAL EXTRAS" fld="23" baseField="25" baseItem="2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4000000}" name="DIN_DESL" cacheId="2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6:N8" firstHeaderRow="1" firstDataRow="1" firstDataCol="11"/>
  <pivotFields count="12">
    <pivotField axis="axisRow" compact="0" outline="0" showAll="0" defaultSubtotal="0">
      <items count="4">
        <item n="-" x="0"/>
        <item m="1" x="2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n="-"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n="-"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4"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n="-"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1">
    <field x="0"/>
    <field x="1"/>
    <field x="2"/>
    <field x="3"/>
    <field x="4"/>
    <field x="5"/>
    <field x="6"/>
    <field x="7"/>
    <field x="8"/>
    <field x="9"/>
    <field x="10"/>
  </rowFields>
  <rowItems count="2">
    <i>
      <x/>
      <x v="3"/>
      <x/>
      <x/>
      <x/>
      <x v="3"/>
      <x v="1"/>
      <x v="3"/>
      <x/>
      <x/>
      <x/>
    </i>
    <i t="grand">
      <x/>
    </i>
  </rowItems>
  <colItems count="1">
    <i/>
  </colItems>
  <dataFields count="1">
    <dataField name="Soma de VALOR R$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5000000}" name="DIN_DESP" cacheId="3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 fieldListSortAscending="1">
  <location ref="C11:M13" firstHeaderRow="1" firstDataRow="1" firstDataCol="10"/>
  <pivotFields count="12">
    <pivotField axis="axisRow" compact="0" outline="0" showAll="0" defaultSubtotal="0">
      <items count="47">
        <item m="1" x="19"/>
        <item m="1" x="40"/>
        <item m="1" x="25"/>
        <item m="1" x="16"/>
        <item m="1" x="32"/>
        <item m="1" x="43"/>
        <item m="1" x="28"/>
        <item m="1" x="31"/>
        <item m="1" x="1"/>
        <item m="1" x="42"/>
        <item m="1" x="39"/>
        <item m="1" x="18"/>
        <item m="1" x="23"/>
        <item m="1" x="33"/>
        <item m="1" x="7"/>
        <item m="1" x="4"/>
        <item m="1" x="34"/>
        <item m="1" x="8"/>
        <item m="1" x="5"/>
        <item m="1" x="14"/>
        <item m="1" x="12"/>
        <item m="1" x="38"/>
        <item m="1" x="24"/>
        <item m="1" x="6"/>
        <item m="1" x="35"/>
        <item m="1" x="27"/>
        <item m="1" x="29"/>
        <item m="1" x="41"/>
        <item m="1" x="9"/>
        <item m="1" x="20"/>
        <item m="1" x="44"/>
        <item m="1" x="15"/>
        <item m="1" x="36"/>
        <item m="1" x="3"/>
        <item m="1" x="13"/>
        <item m="1" x="46"/>
        <item m="1" x="22"/>
        <item m="1" x="45"/>
        <item m="1" x="10"/>
        <item m="1" x="21"/>
        <item x="0"/>
        <item m="1" x="37"/>
        <item m="1" x="17"/>
        <item m="1" x="11"/>
        <item m="1" x="2"/>
        <item m="1" x="26"/>
        <item m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3"/>
        <item m="1" x="8"/>
        <item m="1" x="4"/>
        <item m="1" x="7"/>
        <item m="1" x="9"/>
        <item m="1" x="10"/>
        <item m="1" x="6"/>
        <item m="1" x="1"/>
        <item m="1" x="5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8">
        <item m="1" x="50"/>
        <item m="1" x="110"/>
        <item m="1" x="74"/>
        <item m="1" x="5"/>
        <item m="1" x="13"/>
        <item m="1" x="115"/>
        <item m="1" x="107"/>
        <item m="1" x="86"/>
        <item m="1" x="88"/>
        <item m="1" x="40"/>
        <item m="1" x="79"/>
        <item m="1" x="4"/>
        <item m="1" x="73"/>
        <item m="1" x="32"/>
        <item m="1" x="33"/>
        <item m="1" x="67"/>
        <item m="1" x="83"/>
        <item m="1" x="85"/>
        <item m="1" x="18"/>
        <item m="1" x="46"/>
        <item m="1" x="96"/>
        <item m="1" x="76"/>
        <item m="1" x="53"/>
        <item m="1" x="108"/>
        <item m="1" x="20"/>
        <item m="1" x="65"/>
        <item m="1" x="36"/>
        <item m="1" x="58"/>
        <item m="1" x="102"/>
        <item m="1" x="82"/>
        <item m="1" x="41"/>
        <item m="1" x="81"/>
        <item m="1" x="8"/>
        <item m="1" x="7"/>
        <item m="1" x="91"/>
        <item m="1" x="61"/>
        <item m="1" x="80"/>
        <item m="1" x="57"/>
        <item m="1" x="34"/>
        <item m="1" x="6"/>
        <item m="1" x="29"/>
        <item m="1" x="62"/>
        <item m="1" x="49"/>
        <item m="1" x="12"/>
        <item m="1" x="30"/>
        <item m="1" x="68"/>
        <item m="1" x="94"/>
        <item m="1" x="66"/>
        <item m="1" x="114"/>
        <item m="1" x="104"/>
        <item m="1" x="23"/>
        <item m="1" x="11"/>
        <item m="1" x="44"/>
        <item m="1" x="27"/>
        <item m="1" x="84"/>
        <item m="1" x="54"/>
        <item m="1" x="39"/>
        <item m="1" x="92"/>
        <item m="1" x="56"/>
        <item m="1" x="112"/>
        <item m="1" x="90"/>
        <item m="1" x="1"/>
        <item m="1" x="75"/>
        <item m="1" x="45"/>
        <item m="1" x="97"/>
        <item m="1" x="93"/>
        <item m="1" x="78"/>
        <item m="1" x="2"/>
        <item m="1" x="26"/>
        <item m="1" x="51"/>
        <item m="1" x="42"/>
        <item m="1" x="72"/>
        <item m="1" x="117"/>
        <item m="1" x="99"/>
        <item m="1" x="35"/>
        <item m="1" x="103"/>
        <item m="1" x="63"/>
        <item m="1" x="64"/>
        <item m="1" x="59"/>
        <item m="1" x="38"/>
        <item m="1" x="47"/>
        <item m="1" x="3"/>
        <item m="1" x="37"/>
        <item m="1" x="71"/>
        <item m="1" x="14"/>
        <item m="1" x="69"/>
        <item m="1" x="60"/>
        <item x="0"/>
        <item m="1" x="98"/>
        <item m="1" x="116"/>
        <item m="1" x="55"/>
        <item m="1" x="89"/>
        <item m="1" x="70"/>
        <item m="1" x="16"/>
        <item m="1" x="95"/>
        <item m="1" x="48"/>
        <item m="1" x="31"/>
        <item m="1" x="113"/>
        <item m="1" x="106"/>
        <item m="1" x="43"/>
        <item m="1" x="10"/>
        <item m="1" x="111"/>
        <item m="1" x="52"/>
        <item m="1" x="15"/>
        <item m="1" x="24"/>
        <item m="1" x="100"/>
        <item m="1" x="22"/>
        <item m="1" x="17"/>
        <item m="1" x="25"/>
        <item m="1" x="19"/>
        <item m="1" x="9"/>
        <item m="1" x="87"/>
        <item m="1" x="28"/>
        <item m="1" x="77"/>
        <item m="1" x="21"/>
        <item m="1" x="105"/>
        <item m="1" x="101"/>
        <item m="1"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m="1" x="7"/>
        <item m="1" x="22"/>
        <item m="1" x="9"/>
        <item m="1" x="12"/>
        <item m="1" x="2"/>
        <item m="1" x="14"/>
        <item m="1" x="20"/>
        <item m="1" x="10"/>
        <item m="1" x="8"/>
        <item m="1" x="15"/>
        <item m="1" x="17"/>
        <item m="1" x="1"/>
        <item m="1" x="24"/>
        <item m="1" x="18"/>
        <item m="1" x="11"/>
        <item m="1" x="19"/>
        <item m="1" x="3"/>
        <item m="1" x="5"/>
        <item x="0"/>
        <item m="1" x="23"/>
        <item m="1" x="21"/>
        <item m="1" x="6"/>
        <item m="1" x="4"/>
        <item m="1" x="16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4"/>
        <item m="1" x="5"/>
        <item m="1" x="6"/>
        <item m="1" x="2"/>
        <item m="1" x="1"/>
        <item m="1" x="7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m="1" x="27"/>
        <item x="0"/>
        <item m="1" x="30"/>
        <item m="1" x="9"/>
        <item m="1" x="6"/>
        <item m="1" x="13"/>
        <item m="1" x="22"/>
        <item m="1" x="7"/>
        <item m="1" x="26"/>
        <item m="1" x="12"/>
        <item m="1" x="23"/>
        <item m="1" x="3"/>
        <item m="1" x="15"/>
        <item m="1" x="36"/>
        <item m="1" x="16"/>
        <item m="1" x="33"/>
        <item m="1" x="24"/>
        <item m="1" x="19"/>
        <item m="1" x="32"/>
        <item m="1" x="14"/>
        <item m="1" x="31"/>
        <item m="1" x="4"/>
        <item m="1" x="5"/>
        <item m="1" x="21"/>
        <item m="1" x="8"/>
        <item m="1" x="29"/>
        <item m="1" x="28"/>
        <item m="1" x="25"/>
        <item m="1" x="11"/>
        <item m="1" x="10"/>
        <item m="1" x="17"/>
        <item m="1" x="34"/>
        <item m="1" x="18"/>
        <item m="1" x="2"/>
        <item m="1" x="20"/>
        <item m="1" x="1"/>
        <item m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2"/>
        <item x="0"/>
        <item m="1" x="1"/>
        <item m="1" x="6"/>
        <item m="1" x="3"/>
        <item m="1" x="10"/>
        <item m="1" x="7"/>
        <item m="1" x="5"/>
        <item m="1" x="9"/>
        <item m="1" x="4"/>
        <item m="1" x="11"/>
        <item m="1" x="2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2"/>
    <field x="3"/>
    <field x="4"/>
    <field x="5"/>
    <field x="7"/>
    <field x="8"/>
    <field x="9"/>
    <field x="10"/>
  </rowFields>
  <rowItems count="2">
    <i>
      <x v="40"/>
      <x/>
      <x v="10"/>
      <x v="87"/>
      <x v="18"/>
      <x v="7"/>
      <x v="1"/>
      <x v="2"/>
      <x v="2"/>
      <x v="1"/>
    </i>
    <i t="grand">
      <x/>
    </i>
  </rowItems>
  <colItems count="1">
    <i/>
  </colItems>
  <dataFields count="1">
    <dataField name="Soma de VALOR R$" fld="6" baseField="10" baseItem="0" numFmtId="164"/>
  </dataFields>
  <formats count="1">
    <format dxfId="19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DIN_OP_EXTRA" cacheId="21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11:O13" firstHeaderRow="0" firstDataRow="1" firstDataCol="9" rowPageCount="1" colPageCount="1"/>
  <pivotFields count="39">
    <pivotField axis="axisRow" compact="0" outline="0" showAll="0" defaultSubtotal="0">
      <items count="95">
        <item m="1" x="39"/>
        <item m="1" x="15"/>
        <item m="1" x="32"/>
        <item m="1" x="9"/>
        <item m="1" x="57"/>
        <item m="1" x="54"/>
        <item m="1" x="28"/>
        <item m="1" x="79"/>
        <item m="1" x="50"/>
        <item m="1" x="73"/>
        <item m="1" x="69"/>
        <item m="1" x="7"/>
        <item m="1" x="74"/>
        <item m="1" x="41"/>
        <item m="1" x="48"/>
        <item m="1" x="5"/>
        <item m="1" x="84"/>
        <item m="1" x="64"/>
        <item m="1" x="3"/>
        <item m="1" x="70"/>
        <item m="1" x="37"/>
        <item m="1" x="11"/>
        <item m="1" x="77"/>
        <item m="1" x="16"/>
        <item m="1" x="82"/>
        <item m="1" x="51"/>
        <item m="1" x="20"/>
        <item m="1" x="87"/>
        <item m="1" x="58"/>
        <item m="1" x="25"/>
        <item m="1" x="91"/>
        <item m="1" x="62"/>
        <item m="1" x="30"/>
        <item m="1" x="1"/>
        <item m="1" x="67"/>
        <item m="1" x="35"/>
        <item m="1" x="8"/>
        <item m="1" x="75"/>
        <item m="1" x="42"/>
        <item m="1" x="14"/>
        <item m="1" x="81"/>
        <item m="1" x="49"/>
        <item m="1" x="19"/>
        <item m="1" x="86"/>
        <item m="1" x="56"/>
        <item m="1" x="23"/>
        <item m="1" x="90"/>
        <item m="1" x="61"/>
        <item m="1" x="29"/>
        <item m="1" x="94"/>
        <item m="1" x="66"/>
        <item m="1" x="34"/>
        <item m="1" x="6"/>
        <item m="1" x="72"/>
        <item m="1" x="40"/>
        <item m="1" x="13"/>
        <item m="1" x="80"/>
        <item m="1" x="47"/>
        <item m="1" x="18"/>
        <item m="1" x="85"/>
        <item m="1" x="53"/>
        <item m="1" x="22"/>
        <item m="1" x="89"/>
        <item m="1" x="60"/>
        <item m="1" x="27"/>
        <item m="1" x="93"/>
        <item m="1" x="65"/>
        <item m="1" x="33"/>
        <item m="1" x="4"/>
        <item m="1" x="71"/>
        <item m="1" x="38"/>
        <item m="1" x="12"/>
        <item m="1" x="78"/>
        <item m="1" x="46"/>
        <item m="1" x="17"/>
        <item m="1" x="83"/>
        <item m="1" x="52"/>
        <item m="1" x="21"/>
        <item m="1" x="88"/>
        <item m="1" x="59"/>
        <item m="1" x="26"/>
        <item m="1" x="92"/>
        <item m="1" x="63"/>
        <item m="1" x="31"/>
        <item m="1" x="2"/>
        <item m="1" x="68"/>
        <item m="1" x="36"/>
        <item m="1" x="10"/>
        <item m="1" x="76"/>
        <item m="1" x="43"/>
        <item m="1" x="45"/>
        <item m="1" x="44"/>
        <item m="1" x="24"/>
        <item m="1" x="5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2">
        <item m="1" x="42"/>
        <item m="1" x="61"/>
        <item m="1" x="25"/>
        <item m="1" x="84"/>
        <item m="1" x="56"/>
        <item m="1" x="95"/>
        <item m="1" x="26"/>
        <item m="1" x="45"/>
        <item m="1" x="31"/>
        <item m="1" x="20"/>
        <item m="1" x="75"/>
        <item m="1" x="70"/>
        <item m="1" x="16"/>
        <item m="1" x="23"/>
        <item m="1" x="71"/>
        <item m="1" x="51"/>
        <item m="1" x="57"/>
        <item m="1" x="5"/>
        <item m="1" x="54"/>
        <item m="1" x="41"/>
        <item m="1" x="21"/>
        <item m="1" x="94"/>
        <item m="1" x="79"/>
        <item m="1" x="15"/>
        <item m="1" x="78"/>
        <item m="1" x="80"/>
        <item m="1" x="60"/>
        <item m="1" x="108"/>
        <item m="1" x="92"/>
        <item m="1" x="17"/>
        <item m="1" x="19"/>
        <item m="1" x="106"/>
        <item m="1" x="107"/>
        <item m="1" x="85"/>
        <item m="1" x="100"/>
        <item m="1" x="62"/>
        <item m="1" x="7"/>
        <item m="1" x="111"/>
        <item m="1" x="99"/>
        <item m="1" x="90"/>
        <item m="1" x="68"/>
        <item m="1" x="11"/>
        <item m="1" x="29"/>
        <item m="1" x="58"/>
        <item m="1" x="86"/>
        <item m="1" x="81"/>
        <item m="1" x="1"/>
        <item m="1" x="89"/>
        <item m="1" x="77"/>
        <item m="1" x="10"/>
        <item m="1" x="35"/>
        <item m="1" x="27"/>
        <item m="1" x="39"/>
        <item m="1" x="104"/>
        <item m="1" x="53"/>
        <item m="1" x="34"/>
        <item m="1" x="8"/>
        <item m="1" x="72"/>
        <item m="1" x="103"/>
        <item m="1" x="69"/>
        <item m="1" x="36"/>
        <item m="1" x="87"/>
        <item m="1" x="67"/>
        <item m="1" x="44"/>
        <item m="1" x="82"/>
        <item m="1" x="13"/>
        <item m="1" x="101"/>
        <item m="1" x="88"/>
        <item m="1" x="12"/>
        <item m="1" x="6"/>
        <item m="1" x="74"/>
        <item m="1" x="105"/>
        <item m="1" x="43"/>
        <item m="1" x="50"/>
        <item m="1" x="47"/>
        <item m="1" x="91"/>
        <item m="1" x="102"/>
        <item m="1" x="63"/>
        <item m="1" x="83"/>
        <item m="1" x="98"/>
        <item m="1" x="97"/>
        <item m="1" x="9"/>
        <item m="1" x="32"/>
        <item m="1" x="28"/>
        <item m="1" x="48"/>
        <item m="1" x="3"/>
        <item m="1" x="4"/>
        <item m="1" x="64"/>
        <item m="1" x="49"/>
        <item m="1" x="96"/>
        <item m="1" x="33"/>
        <item m="1" x="30"/>
        <item m="1" x="40"/>
        <item m="1" x="76"/>
        <item m="1" x="65"/>
        <item m="1" x="22"/>
        <item m="1" x="66"/>
        <item m="1" x="73"/>
        <item m="1" x="55"/>
        <item m="1" x="37"/>
        <item m="1" x="46"/>
        <item m="1" x="52"/>
        <item m="1" x="2"/>
        <item m="1" x="18"/>
        <item m="1" x="109"/>
        <item m="1" x="93"/>
        <item m="1" x="110"/>
        <item m="1" x="14"/>
        <item m="1" x="59"/>
        <item m="1" x="38"/>
        <item m="1" x="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4">
        <item m="1" x="214"/>
        <item m="1" x="291"/>
        <item m="1" x="301"/>
        <item m="1" x="161"/>
        <item m="1" x="292"/>
        <item m="1" x="211"/>
        <item m="1" x="180"/>
        <item m="1" x="220"/>
        <item m="1" x="199"/>
        <item m="1" x="255"/>
        <item m="1" x="106"/>
        <item m="1" x="210"/>
        <item m="1" x="22"/>
        <item m="1" x="254"/>
        <item m="1" x="93"/>
        <item m="1" x="249"/>
        <item m="1" x="45"/>
        <item m="1" x="135"/>
        <item m="1" x="158"/>
        <item m="1" x="41"/>
        <item m="1" x="229"/>
        <item m="1" x="80"/>
        <item m="1" x="230"/>
        <item m="1" x="107"/>
        <item m="1" x="103"/>
        <item m="1" x="140"/>
        <item m="1" x="182"/>
        <item m="1" x="157"/>
        <item m="1" x="295"/>
        <item m="1" x="197"/>
        <item m="1" x="61"/>
        <item m="1" x="4"/>
        <item m="1" x="213"/>
        <item m="1" x="264"/>
        <item m="1" x="259"/>
        <item m="1" x="133"/>
        <item m="1" x="217"/>
        <item m="1" x="225"/>
        <item m="1" x="238"/>
        <item m="1" x="198"/>
        <item m="1" x="315"/>
        <item m="1" x="308"/>
        <item m="1" x="267"/>
        <item m="1" x="67"/>
        <item m="1" x="149"/>
        <item m="1" x="176"/>
        <item m="1" x="69"/>
        <item m="1" x="175"/>
        <item m="1" x="142"/>
        <item m="1" x="212"/>
        <item m="1" x="116"/>
        <item m="1" x="269"/>
        <item m="1" x="113"/>
        <item m="1" x="268"/>
        <item m="1" x="271"/>
        <item m="1" x="34"/>
        <item m="1" x="309"/>
        <item m="1" x="37"/>
        <item m="1" x="68"/>
        <item m="1" x="290"/>
        <item m="1" x="278"/>
        <item m="1" x="184"/>
        <item m="1" x="303"/>
        <item m="1" x="219"/>
        <item m="1" x="42"/>
        <item m="1" x="155"/>
        <item m="1" x="12"/>
        <item m="1" x="13"/>
        <item m="1" x="127"/>
        <item m="1" x="76"/>
        <item m="1" x="21"/>
        <item m="1" x="122"/>
        <item m="1" x="228"/>
        <item m="1" x="65"/>
        <item m="1" x="131"/>
        <item m="1" x="244"/>
        <item m="1" x="167"/>
        <item m="1" x="143"/>
        <item m="1" x="144"/>
        <item m="1" x="145"/>
        <item m="1" x="146"/>
        <item m="1" x="147"/>
        <item m="1" x="86"/>
        <item m="1" x="168"/>
        <item m="1" x="7"/>
        <item m="1" x="208"/>
        <item m="1" x="73"/>
        <item m="1" x="57"/>
        <item m="1" x="163"/>
        <item m="1" x="202"/>
        <item m="1" x="46"/>
        <item m="1" x="77"/>
        <item m="1" x="235"/>
        <item m="1" x="129"/>
        <item m="1" x="104"/>
        <item m="1" x="270"/>
        <item m="1" x="2"/>
        <item m="1" x="322"/>
        <item m="1" x="91"/>
        <item m="1" x="153"/>
        <item m="1" x="121"/>
        <item m="1" x="251"/>
        <item m="1" x="40"/>
        <item m="1" x="27"/>
        <item m="1" x="183"/>
        <item m="1" x="59"/>
        <item m="1" x="298"/>
        <item m="1" x="190"/>
        <item m="1" x="281"/>
        <item m="1" x="193"/>
        <item m="1" x="222"/>
        <item m="1" x="50"/>
        <item m="1" x="236"/>
        <item m="1" x="234"/>
        <item m="1" x="243"/>
        <item m="1" x="120"/>
        <item m="1" x="312"/>
        <item m="1" x="275"/>
        <item m="1" x="97"/>
        <item m="1" x="215"/>
        <item m="1" x="102"/>
        <item m="1" x="78"/>
        <item m="1" x="314"/>
        <item m="1" x="14"/>
        <item m="1" x="245"/>
        <item m="1" x="181"/>
        <item m="1" x="15"/>
        <item m="1" x="26"/>
        <item m="1" x="51"/>
        <item m="1" x="3"/>
        <item m="1" x="242"/>
        <item m="1" x="206"/>
        <item m="1" x="316"/>
        <item m="1" x="171"/>
        <item m="1" x="311"/>
        <item m="1" x="226"/>
        <item m="1" x="283"/>
        <item m="1" x="31"/>
        <item m="1" x="112"/>
        <item m="1" x="79"/>
        <item m="1" x="293"/>
        <item m="1" x="266"/>
        <item m="1" x="188"/>
        <item m="1" x="128"/>
        <item m="1" x="138"/>
        <item m="1" x="253"/>
        <item m="1" x="170"/>
        <item m="1" x="247"/>
        <item m="1" x="16"/>
        <item m="1" x="231"/>
        <item m="1" x="323"/>
        <item m="1" x="166"/>
        <item m="1" x="101"/>
        <item m="1" x="29"/>
        <item m="1" x="56"/>
        <item m="1" x="118"/>
        <item m="1" x="257"/>
        <item m="1" x="200"/>
        <item m="1" x="123"/>
        <item m="1" x="306"/>
        <item m="1" x="88"/>
        <item m="1" x="82"/>
        <item m="1" x="75"/>
        <item m="1" x="53"/>
        <item m="1" x="177"/>
        <item m="1" x="186"/>
        <item m="1" x="20"/>
        <item m="1" x="276"/>
        <item m="1" x="115"/>
        <item m="1" x="95"/>
        <item m="1" x="114"/>
        <item m="1" x="205"/>
        <item m="1" x="152"/>
        <item m="1" x="252"/>
        <item m="1" x="10"/>
        <item m="1" x="156"/>
        <item m="1" x="33"/>
        <item m="1" x="83"/>
        <item m="1" x="280"/>
        <item m="1" x="24"/>
        <item m="1" x="23"/>
        <item m="1" x="81"/>
        <item m="1" x="162"/>
        <item m="1" x="191"/>
        <item m="1" x="237"/>
        <item m="1" x="261"/>
        <item m="1" x="320"/>
        <item m="1" x="286"/>
        <item m="1" x="9"/>
        <item m="1" x="224"/>
        <item m="1" x="151"/>
        <item m="1" x="279"/>
        <item m="1" x="52"/>
        <item m="1" x="1"/>
        <item m="1" x="63"/>
        <item m="1" x="272"/>
        <item m="1" x="19"/>
        <item m="1" x="203"/>
        <item m="1" x="223"/>
        <item m="1" x="60"/>
        <item m="1" x="124"/>
        <item m="1" x="159"/>
        <item m="1" x="189"/>
        <item m="1" x="90"/>
        <item m="1" x="256"/>
        <item m="1" x="154"/>
        <item m="1" x="55"/>
        <item m="1" x="150"/>
        <item m="1" x="94"/>
        <item m="1" x="227"/>
        <item m="1" x="274"/>
        <item m="1" x="169"/>
        <item m="1" x="307"/>
        <item m="1" x="125"/>
        <item m="1" x="48"/>
        <item m="1" x="302"/>
        <item m="1" x="305"/>
        <item m="1" x="246"/>
        <item m="1" x="49"/>
        <item m="1" x="87"/>
        <item m="1" x="6"/>
        <item m="1" x="241"/>
        <item m="1" x="317"/>
        <item m="1" x="179"/>
        <item m="1" x="74"/>
        <item m="1" x="187"/>
        <item m="1" x="54"/>
        <item m="1" x="30"/>
        <item m="1" x="92"/>
        <item m="1" x="71"/>
        <item m="1" x="66"/>
        <item m="1" x="232"/>
        <item m="1" x="98"/>
        <item m="1" x="110"/>
        <item m="1" x="96"/>
        <item m="1" x="172"/>
        <item m="1" x="258"/>
        <item m="1" x="263"/>
        <item m="1" x="108"/>
        <item m="1" x="240"/>
        <item m="1" x="132"/>
        <item m="1" x="192"/>
        <item m="1" x="265"/>
        <item m="1" x="282"/>
        <item m="1" x="99"/>
        <item m="1" x="148"/>
        <item m="1" x="47"/>
        <item m="1" x="8"/>
        <item m="1" x="85"/>
        <item m="1" x="89"/>
        <item m="1" x="285"/>
        <item m="1" x="310"/>
        <item m="1" x="260"/>
        <item m="1" x="105"/>
        <item m="1" x="17"/>
        <item m="1" x="209"/>
        <item m="1" x="262"/>
        <item m="1" x="185"/>
        <item m="1" x="300"/>
        <item m="1" x="18"/>
        <item m="1" x="296"/>
        <item m="1" x="233"/>
        <item m="1" x="62"/>
        <item m="1" x="58"/>
        <item m="1" x="139"/>
        <item m="1" x="294"/>
        <item m="1" x="313"/>
        <item m="1" x="39"/>
        <item m="1" x="84"/>
        <item m="1" x="196"/>
        <item m="1" x="239"/>
        <item m="1" x="100"/>
        <item m="1" x="284"/>
        <item m="1" x="32"/>
        <item m="1" x="221"/>
        <item m="1" x="319"/>
        <item m="1" x="38"/>
        <item m="1" x="25"/>
        <item m="1" x="173"/>
        <item m="1" x="216"/>
        <item m="1" x="304"/>
        <item m="1" x="43"/>
        <item m="1" x="250"/>
        <item m="1" x="72"/>
        <item m="1" x="201"/>
        <item m="1" x="5"/>
        <item m="1" x="119"/>
        <item m="1" x="277"/>
        <item m="1" x="273"/>
        <item m="1" x="126"/>
        <item m="1" x="36"/>
        <item m="1" x="11"/>
        <item m="1" x="297"/>
        <item m="1" x="28"/>
        <item m="1" x="35"/>
        <item m="1" x="44"/>
        <item m="1" x="194"/>
        <item m="1" x="109"/>
        <item m="1" x="174"/>
        <item m="1" x="117"/>
        <item m="1" x="248"/>
        <item m="1" x="165"/>
        <item m="1" x="136"/>
        <item m="1" x="70"/>
        <item m="1" x="64"/>
        <item m="1" x="134"/>
        <item m="1" x="289"/>
        <item m="1" x="218"/>
        <item m="1" x="321"/>
        <item m="1" x="141"/>
        <item m="1" x="287"/>
        <item m="1" x="178"/>
        <item m="1" x="207"/>
        <item m="1" x="111"/>
        <item m="1" x="137"/>
        <item m="1" x="288"/>
        <item m="1" x="318"/>
        <item m="1" x="204"/>
        <item m="1" x="130"/>
        <item m="1" x="299"/>
        <item m="1" x="164"/>
        <item m="1" x="160"/>
        <item m="1" x="19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">
        <item m="1" x="67"/>
        <item m="1" x="58"/>
        <item m="1" x="34"/>
        <item m="1" x="18"/>
        <item m="1" x="2"/>
        <item m="1" x="41"/>
        <item m="1" x="72"/>
        <item m="1" x="36"/>
        <item m="1" x="27"/>
        <item m="1" x="74"/>
        <item m="1" x="10"/>
        <item m="1" x="31"/>
        <item m="1" x="48"/>
        <item m="1" x="53"/>
        <item m="1" x="55"/>
        <item m="1" x="63"/>
        <item m="1" x="49"/>
        <item m="1" x="64"/>
        <item m="1" x="24"/>
        <item m="1" x="23"/>
        <item m="1" x="30"/>
        <item m="1" x="28"/>
        <item m="1" x="5"/>
        <item m="1" x="6"/>
        <item m="1" x="76"/>
        <item m="1" x="33"/>
        <item m="1" x="12"/>
        <item m="1" x="59"/>
        <item m="1" x="68"/>
        <item m="1" x="46"/>
        <item m="1" x="75"/>
        <item m="1" x="50"/>
        <item m="1" x="42"/>
        <item x="0"/>
        <item m="1" x="44"/>
        <item m="1" x="52"/>
        <item m="1" x="57"/>
        <item m="1" x="11"/>
        <item m="1" x="71"/>
        <item m="1" x="39"/>
        <item m="1" x="73"/>
        <item m="1" x="70"/>
        <item m="1" x="61"/>
        <item m="1" x="60"/>
        <item m="1" x="78"/>
        <item m="1" x="14"/>
        <item m="1" x="8"/>
        <item m="1" x="29"/>
        <item m="1" x="65"/>
        <item m="1" x="13"/>
        <item m="1" x="20"/>
        <item m="1" x="25"/>
        <item m="1" x="17"/>
        <item m="1" x="47"/>
        <item m="1" x="7"/>
        <item m="1" x="35"/>
        <item m="1" x="77"/>
        <item m="1" x="4"/>
        <item m="1" x="15"/>
        <item m="1" x="54"/>
        <item m="1" x="51"/>
        <item m="1" x="26"/>
        <item m="1" x="22"/>
        <item m="1" x="62"/>
        <item m="1" x="66"/>
        <item m="1" x="37"/>
        <item m="1" x="56"/>
        <item m="1" x="45"/>
        <item m="1" x="16"/>
        <item m="1" x="9"/>
        <item m="1" x="1"/>
        <item m="1" x="3"/>
        <item m="1" x="43"/>
        <item m="1" x="69"/>
        <item m="1" x="19"/>
        <item m="1" x="21"/>
        <item m="1" x="32"/>
        <item m="1" x="38"/>
        <item m="1"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9">
        <item m="1" x="180"/>
        <item m="1" x="47"/>
        <item m="1" x="294"/>
        <item m="1" x="242"/>
        <item m="1" x="203"/>
        <item m="1" x="162"/>
        <item m="1" x="190"/>
        <item m="1" x="209"/>
        <item m="1" x="95"/>
        <item m="1" x="231"/>
        <item m="1" x="313"/>
        <item m="1" x="259"/>
        <item m="1" x="288"/>
        <item m="1" x="325"/>
        <item m="1" x="187"/>
        <item m="1" x="86"/>
        <item m="1" x="196"/>
        <item m="1" x="286"/>
        <item m="1" x="41"/>
        <item m="1" x="26"/>
        <item m="1" x="213"/>
        <item m="1" x="240"/>
        <item m="1" x="251"/>
        <item m="1" x="134"/>
        <item m="1" x="12"/>
        <item m="1" x="291"/>
        <item m="1" x="255"/>
        <item m="1" x="80"/>
        <item m="1" x="85"/>
        <item m="1" x="245"/>
        <item m="1" x="305"/>
        <item m="1" x="66"/>
        <item m="1" x="153"/>
        <item m="1" x="265"/>
        <item m="1" x="172"/>
        <item m="1" x="212"/>
        <item m="1" x="93"/>
        <item m="1" x="276"/>
        <item m="1" x="6"/>
        <item m="1" x="40"/>
        <item m="1" x="310"/>
        <item m="1" x="131"/>
        <item m="1" x="15"/>
        <item m="1" x="188"/>
        <item m="1" x="159"/>
        <item m="1" x="219"/>
        <item m="1" x="44"/>
        <item m="1" x="272"/>
        <item m="1" x="48"/>
        <item m="1" x="218"/>
        <item m="1" x="328"/>
        <item m="1" x="126"/>
        <item m="1" x="122"/>
        <item m="1" x="132"/>
        <item m="1" x="257"/>
        <item m="1" x="161"/>
        <item m="1" x="269"/>
        <item m="1" x="154"/>
        <item m="1" x="110"/>
        <item m="1" x="316"/>
        <item m="1" x="186"/>
        <item m="1" x="199"/>
        <item m="1" x="254"/>
        <item m="1" x="123"/>
        <item m="1" x="287"/>
        <item m="1" x="52"/>
        <item m="1" x="289"/>
        <item m="1" x="290"/>
        <item m="1" x="74"/>
        <item m="1" x="124"/>
        <item m="1" x="296"/>
        <item m="1" x="69"/>
        <item m="1" x="283"/>
        <item m="1" x="158"/>
        <item m="1" x="53"/>
        <item m="1" x="168"/>
        <item m="1" x="192"/>
        <item m="1" x="14"/>
        <item m="1" x="163"/>
        <item m="1" x="318"/>
        <item m="1" x="205"/>
        <item m="1" x="8"/>
        <item m="1" x="281"/>
        <item n="-" x="0"/>
        <item m="1" x="183"/>
        <item m="1" x="49"/>
        <item m="1" x="13"/>
        <item m="1" x="278"/>
        <item m="1" x="271"/>
        <item m="1" x="273"/>
        <item m="1" x="78"/>
        <item m="1" x="261"/>
        <item m="1" x="175"/>
        <item m="1" x="71"/>
        <item m="1" x="304"/>
        <item m="1" x="113"/>
        <item m="1" x="208"/>
        <item m="1" x="191"/>
        <item m="1" x="116"/>
        <item m="1" x="237"/>
        <item m="1" x="39"/>
        <item m="1" x="83"/>
        <item m="1" x="20"/>
        <item m="1" x="178"/>
        <item m="1" x="200"/>
        <item m="1" x="109"/>
        <item m="1" x="244"/>
        <item m="1" x="77"/>
        <item m="1" x="118"/>
        <item m="1" x="299"/>
        <item m="1" x="230"/>
        <item m="1" x="264"/>
        <item m="1" x="99"/>
        <item m="1" x="4"/>
        <item m="1" x="248"/>
        <item m="1" x="326"/>
        <item m="1" x="292"/>
        <item m="1" x="72"/>
        <item m="1" x="303"/>
        <item m="1" x="45"/>
        <item m="1" x="319"/>
        <item m="1" x="121"/>
        <item m="1" x="10"/>
        <item m="1" x="89"/>
        <item m="1" x="90"/>
        <item m="1" x="324"/>
        <item m="1" x="327"/>
        <item m="1" x="141"/>
        <item m="1" x="97"/>
        <item m="1" x="82"/>
        <item m="1" x="201"/>
        <item m="1" x="323"/>
        <item m="1" x="235"/>
        <item m="1" x="137"/>
        <item m="1" x="103"/>
        <item m="1" x="285"/>
        <item m="1" x="295"/>
        <item m="1" x="37"/>
        <item m="1" x="108"/>
        <item m="1" x="227"/>
        <item m="1" x="31"/>
        <item m="1" x="101"/>
        <item m="1" x="2"/>
        <item m="1" x="309"/>
        <item m="1" x="21"/>
        <item m="1" x="25"/>
        <item m="1" x="249"/>
        <item m="1" x="263"/>
        <item m="1" x="202"/>
        <item m="1" x="193"/>
        <item m="1" x="56"/>
        <item m="1" x="234"/>
        <item m="1" x="62"/>
        <item m="1" x="145"/>
        <item m="1" x="87"/>
        <item m="1" x="75"/>
        <item m="1" x="182"/>
        <item m="1" x="179"/>
        <item m="1" x="320"/>
        <item m="1" x="300"/>
        <item m="1" x="250"/>
        <item m="1" x="61"/>
        <item m="1" x="107"/>
        <item m="1" x="70"/>
        <item m="1" x="293"/>
        <item m="1" x="151"/>
        <item m="1" x="252"/>
        <item m="1" x="210"/>
        <item m="1" x="302"/>
        <item m="1" x="9"/>
        <item m="1" x="23"/>
        <item m="1" x="58"/>
        <item m="1" x="243"/>
        <item m="1" x="32"/>
        <item m="1" x="262"/>
        <item m="1" x="138"/>
        <item m="1" x="54"/>
        <item m="1" x="322"/>
        <item m="1" x="112"/>
        <item m="1" x="117"/>
        <item m="1" x="57"/>
        <item m="1" x="119"/>
        <item m="1" x="5"/>
        <item m="1" x="68"/>
        <item m="1" x="317"/>
        <item m="1" x="50"/>
        <item m="1" x="60"/>
        <item m="1" x="125"/>
        <item m="1" x="215"/>
        <item m="1" x="274"/>
        <item m="1" x="284"/>
        <item m="1" x="92"/>
        <item m="1" x="79"/>
        <item m="1" x="221"/>
        <item m="1" x="185"/>
        <item m="1" x="241"/>
        <item m="1" x="84"/>
        <item m="1" x="224"/>
        <item m="1" x="143"/>
        <item m="1" x="164"/>
        <item m="1" x="268"/>
        <item m="1" x="174"/>
        <item m="1" x="204"/>
        <item m="1" x="19"/>
        <item m="1" x="229"/>
        <item m="1" x="312"/>
        <item m="1" x="129"/>
        <item m="1" x="220"/>
        <item m="1" x="198"/>
        <item m="1" x="128"/>
        <item m="1" x="184"/>
        <item m="1" x="76"/>
        <item m="1" x="28"/>
        <item m="1" x="157"/>
        <item m="1" x="59"/>
        <item m="1" x="194"/>
        <item m="1" x="139"/>
        <item m="1" x="140"/>
        <item m="1" x="246"/>
        <item m="1" x="105"/>
        <item m="1" x="55"/>
        <item m="1" x="43"/>
        <item m="1" x="277"/>
        <item m="1" x="307"/>
        <item m="1" x="298"/>
        <item m="1" x="321"/>
        <item m="1" x="1"/>
        <item m="1" x="280"/>
        <item m="1" x="181"/>
        <item m="1" x="156"/>
        <item m="1" x="195"/>
        <item m="1" x="73"/>
        <item m="1" x="148"/>
        <item m="1" x="133"/>
        <item m="1" x="11"/>
        <item m="1" x="258"/>
        <item m="1" x="266"/>
        <item m="1" x="189"/>
        <item m="1" x="102"/>
        <item m="1" x="88"/>
        <item m="1" x="18"/>
        <item m="1" x="166"/>
        <item m="1" x="214"/>
        <item m="1" x="247"/>
        <item m="1" x="94"/>
        <item m="1" x="63"/>
        <item m="1" x="306"/>
        <item m="1" x="3"/>
        <item m="1" x="279"/>
        <item m="1" x="314"/>
        <item m="1" x="256"/>
        <item m="1" x="315"/>
        <item m="1" x="197"/>
        <item m="1" x="177"/>
        <item m="1" x="239"/>
        <item m="1" x="29"/>
        <item m="1" x="30"/>
        <item m="1" x="98"/>
        <item m="1" x="167"/>
        <item m="1" x="238"/>
        <item m="1" x="36"/>
        <item m="1" x="228"/>
        <item m="1" x="270"/>
        <item m="1" x="226"/>
        <item m="1" x="275"/>
        <item m="1" x="149"/>
        <item m="1" x="223"/>
        <item m="1" x="17"/>
        <item m="1" x="114"/>
        <item m="1" x="65"/>
        <item m="1" x="33"/>
        <item m="1" x="260"/>
        <item m="1" x="253"/>
        <item m="1" x="16"/>
        <item m="1" x="171"/>
        <item m="1" x="267"/>
        <item m="1" x="155"/>
        <item m="1" x="115"/>
        <item m="1" x="301"/>
        <item m="1" x="67"/>
        <item m="1" x="206"/>
        <item m="1" x="144"/>
        <item m="1" x="7"/>
        <item m="1" x="106"/>
        <item m="1" x="120"/>
        <item m="1" x="38"/>
        <item m="1" x="147"/>
        <item m="1" x="152"/>
        <item m="1" x="42"/>
        <item m="1" x="46"/>
        <item m="1" x="207"/>
        <item m="1" x="127"/>
        <item m="1" x="160"/>
        <item m="1" x="142"/>
        <item m="1" x="225"/>
        <item m="1" x="130"/>
        <item m="1" x="232"/>
        <item m="1" x="170"/>
        <item m="1" x="169"/>
        <item m="1" x="104"/>
        <item m="1" x="51"/>
        <item m="1" x="236"/>
        <item m="1" x="146"/>
        <item m="1" x="150"/>
        <item m="1" x="282"/>
        <item m="1" x="211"/>
        <item m="1" x="222"/>
        <item m="1" x="216"/>
        <item m="1" x="96"/>
        <item m="1" x="100"/>
        <item m="1" x="217"/>
        <item m="1" x="111"/>
        <item m="1" x="22"/>
        <item m="1" x="135"/>
        <item m="1" x="35"/>
        <item m="1" x="91"/>
        <item m="1" x="308"/>
        <item m="1" x="233"/>
        <item m="1" x="311"/>
        <item m="1" x="165"/>
        <item m="1" x="24"/>
        <item m="1" x="176"/>
        <item m="1" x="136"/>
        <item m="1" x="34"/>
        <item m="1" x="173"/>
        <item m="1" x="297"/>
        <item m="1" x="64"/>
        <item m="1" x="81"/>
        <item m="1"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3"/>
        <item m="1" x="6"/>
        <item m="1" x="5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">
        <item m="1" x="156"/>
        <item m="1" x="60"/>
        <item m="1" x="105"/>
        <item m="1" x="88"/>
        <item m="1" x="143"/>
        <item m="1" x="116"/>
        <item m="1" x="77"/>
        <item m="1" x="154"/>
        <item m="1" x="153"/>
        <item m="1" x="111"/>
        <item m="1" x="194"/>
        <item m="1" x="29"/>
        <item m="1" x="36"/>
        <item m="1" x="203"/>
        <item m="1" x="61"/>
        <item m="1" x="181"/>
        <item m="1" x="159"/>
        <item m="1" x="41"/>
        <item m="1" x="242"/>
        <item m="1" x="219"/>
        <item m="1" x="147"/>
        <item m="1" x="155"/>
        <item m="1" x="172"/>
        <item m="1" x="54"/>
        <item m="1" x="68"/>
        <item m="1" x="190"/>
        <item m="1" x="81"/>
        <item m="1" x="37"/>
        <item m="1" x="74"/>
        <item m="1" x="262"/>
        <item m="1" x="232"/>
        <item m="1" x="256"/>
        <item m="1" x="100"/>
        <item m="1" x="97"/>
        <item m="1" x="221"/>
        <item m="1" x="22"/>
        <item m="1" x="80"/>
        <item x="0"/>
        <item m="1" x="196"/>
        <item m="1" x="45"/>
        <item m="1" x="93"/>
        <item m="1" x="200"/>
        <item m="1" x="3"/>
        <item m="1" x="257"/>
        <item m="1" x="186"/>
        <item m="1" x="16"/>
        <item m="1" x="261"/>
        <item m="1" x="236"/>
        <item m="1" x="237"/>
        <item m="1" x="109"/>
        <item m="1" x="133"/>
        <item m="1" x="27"/>
        <item m="1" x="240"/>
        <item m="1" x="165"/>
        <item m="1" x="11"/>
        <item m="1" x="197"/>
        <item m="1" x="20"/>
        <item m="1" x="151"/>
        <item m="1" x="108"/>
        <item m="1" x="39"/>
        <item m="1" x="225"/>
        <item m="1" x="69"/>
        <item m="1" x="176"/>
        <item m="1" x="249"/>
        <item m="1" x="82"/>
        <item m="1" x="15"/>
        <item m="1" x="185"/>
        <item m="1" x="107"/>
        <item m="1" x="253"/>
        <item m="1" x="213"/>
        <item m="1" x="259"/>
        <item m="1" x="25"/>
        <item m="1" x="210"/>
        <item m="1" x="223"/>
        <item m="1" x="118"/>
        <item m="1" x="175"/>
        <item m="1" x="95"/>
        <item m="1" x="124"/>
        <item m="1" x="6"/>
        <item m="1" x="248"/>
        <item m="1" x="229"/>
        <item m="1" x="38"/>
        <item m="1" x="202"/>
        <item m="1" x="163"/>
        <item m="1" x="193"/>
        <item m="1" x="227"/>
        <item m="1" x="136"/>
        <item m="1" x="157"/>
        <item m="1" x="218"/>
        <item m="1" x="171"/>
        <item m="1" x="152"/>
        <item m="1" x="31"/>
        <item m="1" x="91"/>
        <item m="1" x="207"/>
        <item m="1" x="72"/>
        <item m="1" x="21"/>
        <item m="1" x="235"/>
        <item m="1" x="52"/>
        <item m="1" x="130"/>
        <item m="1" x="206"/>
        <item m="1" x="123"/>
        <item m="1" x="244"/>
        <item m="1" x="89"/>
        <item m="1" x="19"/>
        <item m="1" x="62"/>
        <item m="1" x="170"/>
        <item m="1" x="239"/>
        <item m="1" x="128"/>
        <item m="1" x="238"/>
        <item m="1" x="66"/>
        <item m="1" x="149"/>
        <item m="1" x="5"/>
        <item m="1" x="222"/>
        <item m="1" x="87"/>
        <item m="1" x="132"/>
        <item m="1" x="122"/>
        <item m="1" x="112"/>
        <item m="1" x="144"/>
        <item m="1" x="23"/>
        <item m="1" x="83"/>
        <item m="1" x="212"/>
        <item m="1" x="216"/>
        <item m="1" x="199"/>
        <item m="1" x="117"/>
        <item m="1" x="135"/>
        <item m="1" x="174"/>
        <item m="1" x="228"/>
        <item m="1" x="94"/>
        <item m="1" x="191"/>
        <item m="1" x="217"/>
        <item m="1" x="51"/>
        <item m="1" x="234"/>
        <item m="1" x="192"/>
        <item m="1" x="7"/>
        <item m="1" x="35"/>
        <item m="1" x="13"/>
        <item m="1" x="180"/>
        <item m="1" x="252"/>
        <item m="1" x="33"/>
        <item m="1" x="195"/>
        <item m="1" x="34"/>
        <item m="1" x="162"/>
        <item m="1" x="12"/>
        <item m="1" x="79"/>
        <item m="1" x="140"/>
        <item m="1" x="70"/>
        <item m="1" x="92"/>
        <item m="1" x="102"/>
        <item m="1" x="247"/>
        <item m="1" x="241"/>
        <item m="1" x="14"/>
        <item m="1" x="258"/>
        <item m="1" x="231"/>
        <item m="1" x="139"/>
        <item m="1" x="85"/>
        <item m="1" x="59"/>
        <item m="1" x="141"/>
        <item m="1" x="243"/>
        <item m="1" x="48"/>
        <item m="1" x="168"/>
        <item m="1" x="205"/>
        <item m="1" x="164"/>
        <item m="1" x="161"/>
        <item m="1" x="208"/>
        <item m="1" x="182"/>
        <item m="1" x="177"/>
        <item m="1" x="55"/>
        <item m="1" x="8"/>
        <item m="1" x="169"/>
        <item m="1" x="255"/>
        <item m="1" x="233"/>
        <item m="1" x="184"/>
        <item m="1" x="119"/>
        <item m="1" x="209"/>
        <item m="1" x="127"/>
        <item m="1" x="113"/>
        <item m="1" x="179"/>
        <item m="1" x="134"/>
        <item m="1" x="47"/>
        <item m="1" x="131"/>
        <item m="1" x="96"/>
        <item m="1" x="98"/>
        <item m="1" x="42"/>
        <item m="1" x="32"/>
        <item m="1" x="251"/>
        <item m="1" x="254"/>
        <item m="1" x="4"/>
        <item m="1" x="146"/>
        <item m="1" x="246"/>
        <item m="1" x="173"/>
        <item m="1" x="99"/>
        <item m="1" x="166"/>
        <item m="1" x="44"/>
        <item m="1" x="220"/>
        <item m="1" x="121"/>
        <item m="1" x="64"/>
        <item m="1" x="126"/>
        <item m="1" x="40"/>
        <item m="1" x="30"/>
        <item m="1" x="84"/>
        <item m="1" x="104"/>
        <item m="1" x="71"/>
        <item m="1" x="50"/>
        <item m="1" x="245"/>
        <item m="1" x="188"/>
        <item m="1" x="230"/>
        <item m="1" x="187"/>
        <item m="1" x="160"/>
        <item m="1" x="110"/>
        <item m="1" x="90"/>
        <item m="1" x="214"/>
        <item m="1" x="115"/>
        <item m="1" x="86"/>
        <item m="1" x="76"/>
        <item m="1" x="101"/>
        <item m="1" x="78"/>
        <item m="1" x="58"/>
        <item m="1" x="18"/>
        <item m="1" x="26"/>
        <item m="1" x="250"/>
        <item m="1" x="142"/>
        <item m="1" x="215"/>
        <item m="1" x="53"/>
        <item m="1" x="148"/>
        <item m="1" x="204"/>
        <item m="1" x="201"/>
        <item m="1" x="46"/>
        <item m="1" x="49"/>
        <item m="1" x="73"/>
        <item m="1" x="137"/>
        <item m="1" x="158"/>
        <item m="1" x="65"/>
        <item m="1" x="57"/>
        <item m="1" x="129"/>
        <item m="1" x="145"/>
        <item m="1" x="178"/>
        <item m="1" x="211"/>
        <item m="1" x="2"/>
        <item m="1" x="226"/>
        <item m="1" x="9"/>
        <item m="1" x="198"/>
        <item m="1" x="167"/>
        <item m="1" x="183"/>
        <item m="1" x="120"/>
        <item m="1" x="189"/>
        <item m="1" x="150"/>
        <item m="1" x="106"/>
        <item m="1" x="125"/>
        <item m="1" x="138"/>
        <item m="1" x="114"/>
        <item m="1" x="67"/>
        <item m="1" x="103"/>
        <item m="1" x="63"/>
        <item m="1" x="56"/>
        <item m="1" x="75"/>
        <item m="1" x="43"/>
        <item m="1" x="224"/>
        <item m="1" x="28"/>
        <item m="1" x="1"/>
        <item m="1" x="24"/>
        <item m="1" x="17"/>
        <item m="1" x="10"/>
        <item m="1" x="2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5">
        <item x="0"/>
        <item m="1" x="29"/>
        <item m="1" x="70"/>
        <item m="1" x="23"/>
        <item m="1" x="61"/>
        <item m="1" x="17"/>
        <item m="1" x="154"/>
        <item m="1" x="13"/>
        <item m="1" x="151"/>
        <item m="1" x="56"/>
        <item m="1" x="9"/>
        <item m="1" x="53"/>
        <item m="1" x="148"/>
        <item m="1" x="97"/>
        <item m="1" x="47"/>
        <item m="1" x="45"/>
        <item m="1" x="188"/>
        <item m="1" x="134"/>
        <item m="1" x="100"/>
        <item m="1" x="51"/>
        <item m="1" x="146"/>
        <item m="1" x="189"/>
        <item m="1" x="141"/>
        <item m="1" x="91"/>
        <item m="1" x="62"/>
        <item m="1" x="78"/>
        <item m="1" x="175"/>
        <item m="1" x="113"/>
        <item m="1" x="18"/>
        <item m="1" x="49"/>
        <item m="1" x="140"/>
        <item m="1" x="46"/>
        <item m="1" x="143"/>
        <item m="1" x="5"/>
        <item m="1" x="83"/>
        <item m="1" x="99"/>
        <item m="1" x="162"/>
        <item m="1" x="68"/>
        <item m="1" x="84"/>
        <item m="1" x="50"/>
        <item m="1" x="172"/>
        <item m="1" x="37"/>
        <item m="1" x="69"/>
        <item m="1" x="144"/>
        <item m="1" x="178"/>
        <item m="1" x="65"/>
        <item m="1" x="54"/>
        <item m="1" x="76"/>
        <item m="1" x="192"/>
        <item m="1" x="85"/>
        <item m="1" x="155"/>
        <item m="1" x="93"/>
        <item m="1" x="10"/>
        <item m="1" x="72"/>
        <item m="1" x="27"/>
        <item m="1" x="169"/>
        <item m="1" x="142"/>
        <item m="1" x="92"/>
        <item m="1" x="41"/>
        <item m="1" x="55"/>
        <item m="1" x="30"/>
        <item m="1" x="119"/>
        <item m="1" x="129"/>
        <item m="1" x="77"/>
        <item m="1" x="21"/>
        <item m="1" x="88"/>
        <item m="1" x="102"/>
        <item m="1" x="80"/>
        <item m="1" x="149"/>
        <item m="1" x="79"/>
        <item m="1" x="194"/>
        <item m="1" x="35"/>
        <item m="1" x="73"/>
        <item m="1" x="137"/>
        <item m="1" x="8"/>
        <item m="1" x="12"/>
        <item m="1" x="115"/>
        <item m="1" x="181"/>
        <item m="1" x="19"/>
        <item m="1" x="58"/>
        <item m="1" x="40"/>
        <item m="1" x="153"/>
        <item m="1" x="135"/>
        <item m="1" x="191"/>
        <item m="1" x="94"/>
        <item m="1" x="161"/>
        <item m="1" x="132"/>
        <item m="1" x="123"/>
        <item m="1" x="64"/>
        <item m="1" x="26"/>
        <item m="1" x="165"/>
        <item m="1" x="71"/>
        <item m="1" x="163"/>
        <item m="1" x="125"/>
        <item m="1" x="44"/>
        <item m="1" x="82"/>
        <item m="1" x="1"/>
        <item m="1" x="187"/>
        <item m="1" x="60"/>
        <item m="1" x="117"/>
        <item m="1" x="176"/>
        <item m="1" x="122"/>
        <item m="1" x="87"/>
        <item m="1" x="166"/>
        <item m="1" x="75"/>
        <item m="1" x="66"/>
        <item m="1" x="22"/>
        <item m="1" x="20"/>
        <item m="1" x="52"/>
        <item m="1" x="111"/>
        <item m="1" x="14"/>
        <item m="1" x="131"/>
        <item m="1" x="67"/>
        <item m="1" x="101"/>
        <item m="1" x="179"/>
        <item m="1" x="156"/>
        <item m="1" x="3"/>
        <item m="1" x="190"/>
        <item m="1" x="38"/>
        <item m="1" x="43"/>
        <item m="1" x="170"/>
        <item m="1" x="114"/>
        <item m="1" x="108"/>
        <item m="1" x="90"/>
        <item m="1" x="116"/>
        <item m="1" x="24"/>
        <item m="1" x="177"/>
        <item m="1" x="57"/>
        <item m="1" x="11"/>
        <item m="1" x="186"/>
        <item m="1" x="139"/>
        <item m="1" x="150"/>
        <item m="1" x="104"/>
        <item m="1" x="130"/>
        <item m="1" x="138"/>
        <item m="1" x="48"/>
        <item m="1" x="184"/>
        <item m="1" x="174"/>
        <item m="1" x="39"/>
        <item m="1" x="107"/>
        <item m="1" x="160"/>
        <item m="1" x="15"/>
        <item m="1" x="25"/>
        <item m="1" x="96"/>
        <item m="1" x="173"/>
        <item m="1" x="136"/>
        <item m="1" x="89"/>
        <item m="1" x="33"/>
        <item m="1" x="152"/>
        <item m="1" x="74"/>
        <item m="1" x="34"/>
        <item m="1" x="127"/>
        <item m="1" x="157"/>
        <item m="1" x="110"/>
        <item m="1" x="63"/>
        <item m="1" x="2"/>
        <item m="1" x="42"/>
        <item m="1" x="4"/>
        <item m="1" x="81"/>
        <item m="1" x="16"/>
        <item m="1" x="95"/>
        <item m="1" x="36"/>
        <item m="1" x="124"/>
        <item m="1" x="171"/>
        <item m="1" x="7"/>
        <item m="1" x="28"/>
        <item m="1" x="167"/>
        <item m="1" x="193"/>
        <item m="1" x="112"/>
        <item m="1" x="32"/>
        <item m="1" x="180"/>
        <item m="1" x="183"/>
        <item m="1" x="145"/>
        <item m="1" x="126"/>
        <item m="1" x="120"/>
        <item m="1" x="182"/>
        <item m="1" x="59"/>
        <item m="1" x="118"/>
        <item m="1" x="109"/>
        <item m="1" x="106"/>
        <item m="1" x="103"/>
        <item m="1" x="147"/>
        <item m="1" x="98"/>
        <item m="1" x="31"/>
        <item m="1" x="105"/>
        <item m="1" x="86"/>
        <item m="1" x="121"/>
        <item m="1" x="133"/>
        <item m="1" x="168"/>
        <item m="1" x="159"/>
        <item m="1" x="185"/>
        <item m="1" x="128"/>
        <item m="1" x="158"/>
        <item m="1" x="16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"/>
        <item m="1" x="12"/>
        <item x="0"/>
        <item m="1" x="6"/>
        <item m="1" x="2"/>
        <item m="1" x="11"/>
        <item m="1" x="9"/>
        <item m="1" x="8"/>
        <item m="1" x="10"/>
        <item m="1" x="3"/>
        <item m="1" x="7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3"/>
    <field x="4"/>
    <field x="7"/>
    <field x="8"/>
    <field x="9"/>
    <field x="33"/>
    <field x="19"/>
    <field x="20"/>
  </rowFields>
  <rowItems count="2">
    <i>
      <x v="94"/>
      <x v="3"/>
      <x v="111"/>
      <x v="323"/>
      <x v="33"/>
      <x v="83"/>
      <x v="2"/>
      <x v="37"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2" hier="-1"/>
  </pageFields>
  <dataFields count="4">
    <dataField name="Soma de VALOR FATURADO" fld="21" baseField="0" baseItem="0"/>
    <dataField name="Soma de TOTAL CUSTO (O.C + DI + MT + MO+DESP)" fld="32" baseField="0" baseItem="0"/>
    <dataField name="Soma de R$ (CONTRATO - CUSTOS)" fld="34" baseField="0" baseItem="0"/>
    <dataField name="Soma de ANALISE (CONTRATO - FAT)" fld="36" baseField="0" baseItem="0"/>
  </dataFields>
  <formats count="3">
    <format dxfId="18">
      <pivotArea field="9" type="button" dataOnly="0" labelOnly="1" outline="0" axis="axisRow" fieldPosition="5"/>
    </format>
    <format dxfId="17">
      <pivotArea dataOnly="0" labelOnly="1" outline="0" fieldPosition="0">
        <references count="1">
          <reference field="9" count="0"/>
        </references>
      </pivotArea>
    </format>
    <format dxfId="16">
      <pivotArea dataOnly="0" outline="0" fieldPosition="0">
        <references count="2">
          <reference field="4294967294" count="3">
            <x v="0"/>
            <x v="2"/>
            <x v="3"/>
          </reference>
          <reference field="5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7000000}" name="DIN_FAT_EXTRA" cacheId="5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8:K10" firstHeaderRow="1" firstDataRow="1" firstDataCol="8" rowPageCount="1" colPageCount="1"/>
  <pivotFields count="13">
    <pivotField axis="axisRow" compact="0" outline="0" showAll="0" defaultSubtotal="0">
      <items count="2313">
        <item m="1" x="1308"/>
        <item m="1" x="1449"/>
        <item m="1" x="1518"/>
        <item m="1" x="1555"/>
        <item m="1" x="1593"/>
        <item m="1" x="1625"/>
        <item m="1" x="1660"/>
        <item m="1" x="1699"/>
        <item m="1" x="1732"/>
        <item m="1" x="1767"/>
        <item m="1" x="1803"/>
        <item m="1" x="1839"/>
        <item m="1" x="1875"/>
        <item m="1" x="1912"/>
        <item m="1" x="1986"/>
        <item m="1" x="2083"/>
        <item m="1" x="2120"/>
        <item m="1" x="2152"/>
        <item m="1" x="2190"/>
        <item m="1" x="2263"/>
        <item m="1" x="21"/>
        <item m="1" x="89"/>
        <item m="1" x="160"/>
        <item m="1" x="192"/>
        <item m="1" x="262"/>
        <item m="1" x="299"/>
        <item m="1" x="367"/>
        <item m="1" x="401"/>
        <item m="1" x="436"/>
        <item m="1" x="473"/>
        <item m="1" x="509"/>
        <item m="1" x="546"/>
        <item m="1" x="582"/>
        <item m="1" x="616"/>
        <item m="1" x="650"/>
        <item m="1" x="688"/>
        <item m="1" x="723"/>
        <item m="1" x="757"/>
        <item m="1" x="795"/>
        <item m="1" x="834"/>
        <item m="1" x="871"/>
        <item m="1" x="907"/>
        <item m="1" x="946"/>
        <item m="1" x="982"/>
        <item m="1" x="1016"/>
        <item m="1" x="1052"/>
        <item m="1" x="1087"/>
        <item m="1" x="1126"/>
        <item m="1" x="1163"/>
        <item m="1" x="1197"/>
        <item m="1" x="1235"/>
        <item m="1" x="1339"/>
        <item m="1" x="1411"/>
        <item m="1" x="1480"/>
        <item m="1" x="1515"/>
        <item m="1" x="1590"/>
        <item m="1" x="1623"/>
        <item m="1" x="1696"/>
        <item m="1" x="1765"/>
        <item m="1" x="1836"/>
        <item m="1" x="686"/>
        <item m="1" x="1872"/>
        <item m="1" x="721"/>
        <item m="1" x="1909"/>
        <item m="1" x="755"/>
        <item m="1" x="1947"/>
        <item m="1" x="793"/>
        <item m="1" x="1983"/>
        <item m="1" x="832"/>
        <item m="1" x="2015"/>
        <item m="1" x="869"/>
        <item m="1" x="2048"/>
        <item m="1" x="2081"/>
        <item m="1" x="2117"/>
        <item m="1" x="1014"/>
        <item m="1" x="2187"/>
        <item m="1" x="1050"/>
        <item m="1" x="2225"/>
        <item m="1" x="1085"/>
        <item m="1" x="2261"/>
        <item m="1" x="1124"/>
        <item m="1" x="2296"/>
        <item m="1" x="1161"/>
        <item m="1" x="1195"/>
        <item m="1" x="52"/>
        <item m="1" x="1233"/>
        <item m="1" x="86"/>
        <item m="1" x="1269"/>
        <item m="1" x="123"/>
        <item m="1" x="1304"/>
        <item m="1" x="157"/>
        <item m="1" x="1337"/>
        <item m="1" x="226"/>
        <item m="1" x="1409"/>
        <item m="1" x="259"/>
        <item m="1" x="1445"/>
        <item m="1" x="296"/>
        <item m="1" x="1478"/>
        <item m="1" x="332"/>
        <item m="1" x="1513"/>
        <item m="1" x="364"/>
        <item m="1" x="1551"/>
        <item m="1" x="398"/>
        <item m="1" x="1588"/>
        <item m="1" x="506"/>
        <item m="1" x="1694"/>
        <item m="1" x="543"/>
        <item m="1" x="579"/>
        <item m="1" x="1763"/>
        <item m="1" x="615"/>
        <item m="1" x="1799"/>
        <item m="1" x="647"/>
        <item m="1" x="1834"/>
        <item m="1" x="684"/>
        <item m="1" x="1870"/>
        <item m="1" x="719"/>
        <item m="1" x="1907"/>
        <item m="1" x="1945"/>
        <item m="1" x="791"/>
        <item m="1" x="1981"/>
        <item m="1" x="830"/>
        <item m="1" x="867"/>
        <item m="1" x="904"/>
        <item m="1" x="942"/>
        <item m="1" x="2115"/>
        <item m="1" x="979"/>
        <item m="1" x="1012"/>
        <item m="1" x="2259"/>
        <item m="1" x="511"/>
        <item m="1" x="6"/>
        <item m="1" x="2153"/>
        <item m="1" x="1018"/>
        <item m="1" x="2191"/>
        <item m="1" x="496"/>
        <item m="1" x="1089"/>
        <item m="1" x="1681"/>
        <item m="1" x="2264"/>
        <item m="1" x="531"/>
        <item m="1" x="1128"/>
        <item m="1" x="2299"/>
        <item m="1" x="567"/>
        <item m="1" x="22"/>
        <item m="1" x="603"/>
        <item m="1" x="1199"/>
        <item m="1" x="1786"/>
        <item m="1" x="55"/>
        <item m="1" x="636"/>
        <item m="1" x="1237"/>
        <item m="1" x="1822"/>
        <item m="1" x="90"/>
        <item m="1" x="673"/>
        <item m="1" x="1272"/>
        <item m="1" x="1858"/>
        <item m="1" x="126"/>
        <item m="1" x="709"/>
        <item m="1" x="1307"/>
        <item m="1" x="1894"/>
        <item m="1" x="161"/>
        <item m="1" x="743"/>
        <item m="1" x="1341"/>
        <item m="1" x="1932"/>
        <item m="1" x="193"/>
        <item m="1" x="780"/>
        <item m="1" x="1378"/>
        <item m="1" x="1969"/>
        <item m="1" x="229"/>
        <item m="1" x="819"/>
        <item m="1" x="1413"/>
        <item m="1" x="2002"/>
        <item m="1" x="263"/>
        <item m="1" x="856"/>
        <item m="1" x="1448"/>
        <item m="1" x="2036"/>
        <item m="1" x="300"/>
        <item m="1" x="892"/>
        <item m="1" x="1482"/>
        <item m="1" x="2068"/>
        <item m="1" x="335"/>
        <item m="1" x="930"/>
        <item m="1" x="1517"/>
        <item m="1" x="2101"/>
        <item m="1" x="966"/>
        <item m="1" x="1554"/>
        <item m="1" x="2139"/>
        <item m="1" x="402"/>
        <item m="1" x="1003"/>
        <item m="1" x="1592"/>
        <item m="1" x="2172"/>
        <item m="1" x="437"/>
        <item m="1" x="1037"/>
        <item m="1" x="2210"/>
        <item m="1" x="474"/>
        <item m="1" x="1074"/>
        <item m="1" x="1659"/>
        <item m="1" x="2246"/>
        <item m="1" x="510"/>
        <item m="1" x="1108"/>
        <item m="1" x="1698"/>
        <item m="1" x="2282"/>
        <item m="1" x="547"/>
        <item m="1" x="1149"/>
        <item m="1" x="1731"/>
        <item m="1" x="5"/>
        <item m="1" x="583"/>
        <item m="1" x="1766"/>
        <item m="1" x="38"/>
        <item m="1" x="1218"/>
        <item m="1" x="1802"/>
        <item m="1" x="651"/>
        <item m="1" x="1255"/>
        <item m="1" x="1838"/>
        <item m="1" x="108"/>
        <item m="1" x="689"/>
        <item m="1" x="1290"/>
        <item m="1" x="1874"/>
        <item m="1" x="142"/>
        <item m="1" x="724"/>
        <item m="1" x="1325"/>
        <item m="1" x="1911"/>
        <item m="1" x="176"/>
        <item m="1" x="758"/>
        <item m="1" x="1362"/>
        <item m="1" x="1949"/>
        <item m="1" x="211"/>
        <item m="1" x="796"/>
        <item m="1" x="1396"/>
        <item m="1" x="1985"/>
        <item m="1" x="247"/>
        <item m="1" x="835"/>
        <item m="1" x="1431"/>
        <item m="1" x="2017"/>
        <item m="1" x="282"/>
        <item m="1" x="872"/>
        <item m="1" x="1466"/>
        <item m="1" x="2050"/>
        <item m="1" x="319"/>
        <item m="1" x="908"/>
        <item m="1" x="1501"/>
        <item m="1" x="2082"/>
        <item m="1" x="353"/>
        <item m="1" x="947"/>
        <item m="1" x="1537"/>
        <item m="1" x="2119"/>
        <item m="1" x="384"/>
        <item m="1" x="983"/>
        <item m="1" x="1574"/>
        <item m="1" x="2151"/>
        <item m="1" x="420"/>
        <item m="1" x="1017"/>
        <item m="1" x="1610"/>
        <item m="1" x="2189"/>
        <item m="1" x="458"/>
        <item m="1" x="1053"/>
        <item m="1" x="1644"/>
        <item m="1" x="2227"/>
        <item m="1" x="495"/>
        <item m="1" x="1088"/>
        <item m="1" x="1680"/>
        <item m="1" x="2262"/>
        <item m="1" x="530"/>
        <item m="1" x="1127"/>
        <item m="1" x="1720"/>
        <item m="1" x="2298"/>
        <item m="1" x="565"/>
        <item m="1" x="1164"/>
        <item m="1" x="1751"/>
        <item m="1" x="1198"/>
        <item m="1" x="1785"/>
        <item m="1" x="54"/>
        <item m="1" x="1236"/>
        <item m="1" x="1821"/>
        <item m="1" x="88"/>
        <item m="1" x="672"/>
        <item m="1" x="1271"/>
        <item m="1" x="1857"/>
        <item m="1" x="125"/>
        <item m="1" x="708"/>
        <item m="1" x="1306"/>
        <item m="1" x="1893"/>
        <item m="1" x="159"/>
        <item m="1" x="1340"/>
        <item m="1" x="1931"/>
        <item m="1" x="191"/>
        <item m="1" x="778"/>
        <item m="1" x="1377"/>
        <item m="1" x="1968"/>
        <item m="1" x="228"/>
        <item m="1" x="818"/>
        <item m="1" x="1412"/>
        <item m="1" x="2001"/>
        <item m="1" x="261"/>
        <item m="1" x="854"/>
        <item m="1" x="1447"/>
        <item m="1" x="2035"/>
        <item m="1" x="298"/>
        <item m="1" x="891"/>
        <item m="1" x="1481"/>
        <item m="1" x="2067"/>
        <item m="1" x="334"/>
        <item m="1" x="928"/>
        <item m="1" x="1516"/>
        <item m="1" x="2100"/>
        <item m="1" x="366"/>
        <item m="1" x="965"/>
        <item m="1" x="1553"/>
        <item m="1" x="2138"/>
        <item m="1" x="400"/>
        <item m="1" x="1002"/>
        <item m="1" x="1591"/>
        <item m="1" x="2171"/>
        <item m="1" x="435"/>
        <item m="1" x="1036"/>
        <item m="1" x="1624"/>
        <item m="1" x="2209"/>
        <item m="1" x="472"/>
        <item m="1" x="1072"/>
        <item m="1" x="1658"/>
        <item m="1" x="2245"/>
        <item m="1" x="508"/>
        <item m="1" x="1107"/>
        <item m="1" x="1697"/>
        <item m="1" x="2281"/>
        <item m="1" x="545"/>
        <item m="1" x="1147"/>
        <item m="1" x="1730"/>
        <item m="1" x="4"/>
        <item m="1" x="581"/>
        <item m="1" x="1216"/>
        <item m="1" x="1801"/>
        <item m="1" x="72"/>
        <item m="1" x="649"/>
        <item m="1" x="1254"/>
        <item m="1" x="1837"/>
        <item m="1" x="107"/>
        <item m="1" x="687"/>
        <item m="1" x="1288"/>
        <item m="1" x="1873"/>
        <item m="1" x="141"/>
        <item m="1" x="722"/>
        <item m="1" x="1324"/>
        <item m="1" x="1910"/>
        <item m="1" x="175"/>
        <item m="1" x="756"/>
        <item m="1" x="1360"/>
        <item m="1" x="210"/>
        <item m="1" x="794"/>
        <item m="1" x="1395"/>
        <item m="1" x="1984"/>
        <item m="1" x="246"/>
        <item m="1" x="833"/>
        <item m="1" x="1429"/>
        <item m="1" x="2016"/>
        <item m="1" x="281"/>
        <item m="1" x="870"/>
        <item m="1" x="1465"/>
        <item m="1" x="2049"/>
        <item m="1" x="318"/>
        <item m="1" x="906"/>
        <item m="1" x="1499"/>
        <item m="1" x="352"/>
        <item m="1" x="944"/>
        <item m="1" x="2118"/>
        <item m="1" x="383"/>
        <item m="1" x="981"/>
        <item m="1" x="1572"/>
        <item m="1" x="2150"/>
        <item m="1" x="419"/>
        <item m="1" x="1015"/>
        <item m="1" x="1609"/>
        <item m="1" x="2188"/>
        <item m="1" x="457"/>
        <item m="1" x="1051"/>
        <item m="1" x="1642"/>
        <item m="1" x="2226"/>
        <item m="1" x="494"/>
        <item m="1" x="1086"/>
        <item m="1" x="1679"/>
        <item m="1" x="529"/>
        <item m="1" x="1125"/>
        <item m="1" x="1718"/>
        <item m="1" x="2297"/>
        <item m="1" x="564"/>
        <item m="1" x="1162"/>
        <item m="1" x="1750"/>
        <item m="1" x="20"/>
        <item m="1" x="602"/>
        <item m="1" x="1196"/>
        <item m="1" x="1783"/>
        <item m="1" x="53"/>
        <item m="1" x="634"/>
        <item m="1" x="1234"/>
        <item m="1" x="1528"/>
        <item m="1" x="1820"/>
        <item m="1" x="2110"/>
        <item m="1" x="87"/>
        <item m="1" x="376"/>
        <item m="1" x="671"/>
        <item m="1" x="975"/>
        <item m="1" x="1270"/>
        <item m="1" x="1564"/>
        <item m="1" x="1855"/>
        <item m="1" x="2145"/>
        <item m="1" x="124"/>
        <item m="1" x="413"/>
        <item m="1" x="707"/>
        <item m="1" x="1305"/>
        <item m="1" x="1602"/>
        <item m="1" x="1892"/>
        <item m="1" x="2180"/>
        <item m="1" x="158"/>
        <item m="1" x="448"/>
        <item m="1" x="742"/>
        <item m="1" x="1046"/>
        <item m="1" x="1338"/>
        <item m="1" x="1633"/>
        <item m="1" x="1929"/>
        <item m="1" x="2219"/>
        <item m="1" x="190"/>
        <item m="1" x="484"/>
        <item m="1" x="777"/>
        <item m="1" x="1081"/>
        <item m="1" x="1376"/>
        <item m="1" x="1670"/>
        <item m="1" x="1967"/>
        <item m="1" x="2253"/>
        <item m="1" x="227"/>
        <item m="1" x="520"/>
        <item m="1" x="817"/>
        <item m="1" x="1118"/>
        <item m="1" x="1410"/>
        <item m="1" x="1709"/>
        <item m="1" x="2000"/>
        <item m="1" x="2289"/>
        <item m="1" x="260"/>
        <item m="1" x="556"/>
        <item m="1" x="853"/>
        <item m="1" x="1156"/>
        <item m="1" x="1446"/>
        <item m="1" x="1740"/>
        <item m="1" x="2034"/>
        <item m="1" x="13"/>
        <item m="1" x="297"/>
        <item m="1" x="593"/>
        <item m="1" x="890"/>
        <item m="1" x="1190"/>
        <item m="1" x="1479"/>
        <item m="1" x="1776"/>
        <item m="1" x="2066"/>
        <item m="1" x="45"/>
        <item m="1" x="333"/>
        <item m="1" x="625"/>
        <item m="1" x="927"/>
        <item m="1" x="1226"/>
        <item m="1" x="1514"/>
        <item m="1" x="1811"/>
        <item m="1" x="2099"/>
        <item m="1" x="80"/>
        <item m="1" x="365"/>
        <item m="1" x="660"/>
        <item m="1" x="964"/>
        <item m="1" x="1264"/>
        <item m="1" x="1552"/>
        <item m="1" x="1847"/>
        <item m="1" x="2136"/>
        <item m="1" x="116"/>
        <item m="1" x="399"/>
        <item m="1" x="698"/>
        <item m="1" x="1001"/>
        <item m="1" x="1298"/>
        <item m="1" x="1589"/>
        <item m="1" x="1884"/>
        <item m="1" x="2169"/>
        <item m="1" x="150"/>
        <item m="1" x="434"/>
        <item m="1" x="732"/>
        <item m="1" x="1035"/>
        <item m="1" x="1332"/>
        <item m="1" x="1622"/>
        <item m="1" x="1920"/>
        <item m="1" x="2207"/>
        <item m="1" x="183"/>
        <item m="1" x="471"/>
        <item m="1" x="767"/>
        <item m="1" x="1071"/>
        <item m="1" x="1370"/>
        <item m="1" x="1657"/>
        <item m="1" x="1959"/>
        <item m="1" x="2243"/>
        <item m="1" x="507"/>
        <item m="1" x="807"/>
        <item m="1" x="1106"/>
        <item m="1" x="1404"/>
        <item m="1" x="1695"/>
        <item m="1" x="1993"/>
        <item m="1" x="2279"/>
        <item m="1" x="254"/>
        <item m="1" x="544"/>
        <item m="1" x="845"/>
        <item m="1" x="1146"/>
        <item m="1" x="1440"/>
        <item m="1" x="1729"/>
        <item m="1" x="2027"/>
        <item m="1" x="2"/>
        <item m="1" x="290"/>
        <item m="1" x="580"/>
        <item m="1" x="882"/>
        <item m="1" x="1182"/>
        <item m="1" x="1473"/>
        <item m="1" x="1764"/>
        <item m="1" x="2058"/>
        <item m="1" x="36"/>
        <item m="1" x="919"/>
        <item m="1" x="1215"/>
        <item m="1" x="1507"/>
        <item m="1" x="1800"/>
        <item m="1" x="2091"/>
        <item m="1" x="70"/>
        <item m="1" x="360"/>
        <item m="1" x="648"/>
        <item m="1" x="956"/>
        <item m="1" x="1253"/>
        <item m="1" x="1546"/>
        <item m="1" x="1835"/>
        <item m="1" x="2129"/>
        <item m="1" x="105"/>
        <item m="1" x="392"/>
        <item m="1" x="685"/>
        <item m="1" x="994"/>
        <item m="1" x="1287"/>
        <item m="1" x="1582"/>
        <item m="1" x="1871"/>
        <item m="1" x="139"/>
        <item m="1" x="429"/>
        <item m="1" x="720"/>
        <item m="1" x="1026"/>
        <item m="1" x="1323"/>
        <item m="1" x="1617"/>
        <item m="1" x="1908"/>
        <item m="1" x="2199"/>
        <item m="1" x="174"/>
        <item m="1" x="754"/>
        <item m="1" x="1062"/>
        <item m="1" x="1359"/>
        <item m="1" x="1651"/>
        <item m="1" x="1946"/>
        <item m="1" x="2235"/>
        <item m="1" x="501"/>
        <item m="1" x="792"/>
        <item m="1" x="1097"/>
        <item m="1" x="1394"/>
        <item m="1" x="1689"/>
        <item m="1" x="1982"/>
        <item m="1" x="2271"/>
        <item m="1" x="244"/>
        <item m="1" x="537"/>
        <item m="1" x="831"/>
        <item m="1" x="1137"/>
        <item m="1" x="1428"/>
        <item m="1" x="1725"/>
        <item m="1" x="2014"/>
        <item m="1" x="2306"/>
        <item m="1" x="279"/>
        <item m="1" x="574"/>
        <item m="1" x="868"/>
        <item m="1" x="1173"/>
        <item m="1" x="1464"/>
        <item m="1" x="1758"/>
        <item m="1" x="2047"/>
        <item m="1" x="27"/>
        <item m="1" x="316"/>
        <item m="1" x="609"/>
        <item m="1" x="1793"/>
        <item m="1" x="2080"/>
        <item m="1" x="63"/>
        <item m="1" x="643"/>
        <item m="1" x="943"/>
        <item m="1" x="1246"/>
        <item m="1" x="1536"/>
        <item m="1" x="1829"/>
        <item m="1" x="2116"/>
        <item m="1" x="98"/>
        <item m="1" x="381"/>
        <item m="1" x="980"/>
        <item m="1" x="1280"/>
        <item m="1" x="1571"/>
        <item m="1" x="1864"/>
        <item m="1" x="2149"/>
        <item m="1" x="131"/>
        <item m="1" x="418"/>
        <item m="1" x="715"/>
        <item m="1" x="1013"/>
        <item m="1" x="1315"/>
        <item m="1" x="1902"/>
        <item m="1" x="2186"/>
        <item m="1" x="455"/>
        <item m="1" x="750"/>
        <item m="1" x="1049"/>
        <item m="1" x="1349"/>
        <item m="1" x="1641"/>
        <item m="1" x="1939"/>
        <item m="1" x="2224"/>
        <item m="1" x="201"/>
        <item m="1" x="492"/>
        <item m="1" x="786"/>
        <item m="1" x="1084"/>
        <item m="1" x="1386"/>
        <item m="1" x="1678"/>
        <item m="1" x="1976"/>
        <item m="1" x="2260"/>
        <item m="1" x="235"/>
        <item m="1" x="527"/>
        <item m="1" x="824"/>
        <item m="1" x="1123"/>
        <item m="1" x="1420"/>
        <item m="1" x="1717"/>
        <item m="1" x="2008"/>
        <item m="1" x="2295"/>
        <item m="1" x="271"/>
        <item m="1" x="562"/>
        <item m="1" x="863"/>
        <item m="1" x="1160"/>
        <item m="1" x="1457"/>
        <item m="1" x="1748"/>
        <item m="1" x="2043"/>
        <item m="1" x="19"/>
        <item m="1" x="308"/>
        <item m="1" x="600"/>
        <item m="1" x="899"/>
        <item m="1" x="1490"/>
        <item m="1" x="2075"/>
        <item m="1" x="51"/>
        <item m="1" x="343"/>
        <item m="1" x="632"/>
        <item m="1" x="937"/>
        <item m="1" x="1232"/>
        <item m="1" x="1526"/>
        <item m="1" x="1819"/>
        <item m="1" x="2108"/>
        <item m="1" x="85"/>
        <item m="1" x="373"/>
        <item m="1" x="669"/>
        <item m="1" x="973"/>
        <item m="1" x="1268"/>
        <item m="1" x="1562"/>
        <item m="1" x="1854"/>
        <item m="1" x="2143"/>
        <item m="1" x="122"/>
        <item m="1" x="410"/>
        <item m="1" x="705"/>
        <item m="1" x="1007"/>
        <item m="1" x="1303"/>
        <item m="1" x="1600"/>
        <item m="1" x="1891"/>
        <item m="1" x="2178"/>
        <item m="1" x="156"/>
        <item m="1" x="445"/>
        <item m="1" x="740"/>
        <item m="1" x="1336"/>
        <item m="1" x="1631"/>
        <item m="1" x="1928"/>
        <item m="1" x="2217"/>
        <item m="1" x="189"/>
        <item m="1" x="481"/>
        <item m="1" x="1375"/>
        <item m="1" x="1668"/>
        <item m="1" x="225"/>
        <item m="1" x="815"/>
        <item m="1" x="1115"/>
        <item m="1" x="1707"/>
        <item m="1" x="738"/>
        <item m="1" x="797"/>
        <item m="1" x="1435"/>
        <item m="1" x="1509"/>
        <item m="1" x="1749"/>
        <item m="1" x="1948"/>
        <item m="1" x="525"/>
        <item m="1" x="1353"/>
        <item m="1" x="470"/>
        <item m="1" x="1059"/>
        <item x="0"/>
        <item m="1" x="1228"/>
        <item m="1" x="188"/>
        <item m="1" x="2113"/>
        <item m="1" x="18"/>
        <item m="1" x="598"/>
        <item m="1" x="1194"/>
        <item m="1" x="16"/>
        <item m="1" x="1675"/>
        <item m="1" x="2183"/>
        <item m="1" x="2185"/>
        <item m="1" x="2256"/>
        <item m="1" x="83"/>
        <item m="1" x="978"/>
        <item m="1" x="453"/>
        <item m="1" x="50"/>
        <item m="1" x="2294"/>
        <item m="1" x="631"/>
        <item m="1" x="1231"/>
        <item m="1" x="222"/>
        <item m="1" x="121"/>
        <item m="1" x="1965"/>
        <item m="1" x="1267"/>
        <item m="1" x="224"/>
        <item m="1" x="153"/>
        <item m="1" x="667"/>
        <item m="1" x="1408"/>
        <item m="1" x="1477"/>
        <item m="1" x="331"/>
        <item m="1" x="774"/>
        <item m="1" x="888"/>
        <item m="1" x="1302"/>
        <item m="1" x="1033"/>
        <item m="1" x="1335"/>
        <item m="1" x="1926"/>
        <item m="1" x="1512"/>
        <item m="1" x="813"/>
        <item m="1" x="1853"/>
        <item m="1" x="1890"/>
        <item m="1" x="1374"/>
        <item m="1" x="2064"/>
        <item m="1" x="1587"/>
        <item m="1" x="155"/>
        <item m="1" x="737"/>
        <item m="1" x="295"/>
        <item m="1" x="1441"/>
        <item m="1" x="1998"/>
        <item m="1" x="397"/>
        <item m="1" x="1817"/>
        <item m="1" x="925"/>
        <item m="1" x="2097"/>
        <item m="1" x="363"/>
        <item m="1" x="962"/>
        <item m="1" x="1550"/>
        <item m="1" x="1621"/>
        <item m="1" x="1032"/>
        <item m="1" x="2166"/>
        <item m="1" x="433"/>
        <item m="1" x="1371"/>
        <item m="1" x="469"/>
        <item m="1" x="1103"/>
        <item m="1" x="2258"/>
        <item m="1" x="1122"/>
        <item m="1" x="293"/>
        <item m="1" x="1068"/>
        <item m="1" x="1584"/>
        <item m="1" x="1653"/>
        <item m="1" x="1726"/>
        <item m="1" x="1795"/>
        <item m="1" x="1866"/>
        <item m="1" x="1941"/>
        <item m="1" x="2010"/>
        <item m="1" x="258"/>
        <item m="1" x="850"/>
        <item m="1" x="1444"/>
        <item m="1" x="2204"/>
        <item m="1" x="1656"/>
        <item m="1" x="505"/>
        <item m="1" x="1693"/>
        <item m="1" x="2311"/>
        <item m="1" x="1427"/>
        <item m="1" x="2276"/>
        <item m="1" x="542"/>
        <item m="1" x="68"/>
        <item m="1" x="184"/>
        <item m="1" x="327"/>
        <item m="1" x="2240"/>
        <item m="1" x="1179"/>
        <item m="1" x="1762"/>
        <item m="1" x="33"/>
        <item m="1" x="614"/>
        <item m="1" x="1212"/>
        <item m="1" x="1798"/>
        <item m="1" x="683"/>
        <item m="1" x="1000"/>
        <item m="1" x="1143"/>
        <item m="1" x="578"/>
        <item m="1" x="1833"/>
        <item m="1" x="103"/>
        <item m="1" x="1869"/>
        <item m="1" x="137"/>
        <item m="1" x="718"/>
        <item m="1" x="1319"/>
        <item m="1" x="1906"/>
        <item m="1" x="172"/>
        <item m="1" x="753"/>
        <item m="1" x="1356"/>
        <item m="1" x="1944"/>
        <item m="1" x="207"/>
        <item m="1" x="2220"/>
        <item m="1" x="393"/>
        <item m="1" x="465"/>
        <item m="1" x="538"/>
        <item m="1" x="610"/>
        <item m="1" x="1284"/>
        <item m="1" x="790"/>
        <item m="1" x="1980"/>
        <item m="1" x="1392"/>
        <item m="1" x="829"/>
        <item m="1" x="1426"/>
        <item m="1" x="241"/>
        <item m="1" x="903"/>
        <item m="1" x="1496"/>
        <item m="1" x="1462"/>
        <item m="1" x="2046"/>
        <item m="1" x="313"/>
        <item m="1" x="2079"/>
        <item m="1" x="349"/>
        <item m="1" x="380"/>
        <item m="1" x="2013"/>
        <item m="1" x="276"/>
        <item m="1" x="866"/>
        <item m="1" x="1533"/>
        <item m="1" x="2114"/>
        <item m="1" x="2148"/>
        <item m="1" x="2184"/>
        <item m="1" x="1568"/>
        <item m="1" x="2223"/>
        <item m="1" x="974"/>
        <item m="1" x="1044"/>
        <item m="1" x="488"/>
        <item m="1" x="977"/>
        <item m="1" x="1011"/>
        <item m="1" x="825"/>
        <item m="1" x="900"/>
        <item m="1" x="941"/>
        <item m="1" x="1638"/>
        <item m="1" x="1083"/>
        <item m="1" x="680"/>
        <item m="1" x="1116"/>
        <item m="1" x="1606"/>
        <item m="1" x="1674"/>
        <item m="1" x="452"/>
        <item m="1" x="2293"/>
        <item m="1" x="1330"/>
        <item m="1" x="560"/>
        <item m="1" x="1745"/>
        <item m="1" x="596"/>
        <item m="1" x="49"/>
        <item m="1" x="2290"/>
        <item m="1" x="1320"/>
        <item m="1" x="1251"/>
        <item m="1" x="1889"/>
        <item m="1" x="1714"/>
        <item m="1" x="1544"/>
        <item m="1" x="1852"/>
        <item m="1" x="154"/>
        <item m="1" x="1334"/>
        <item m="1" x="1925"/>
        <item m="1" x="187"/>
        <item m="1" x="120"/>
        <item m="1" x="702"/>
        <item m="1" x="1301"/>
        <item m="1" x="736"/>
        <item m="1" x="1159"/>
        <item m="1" x="771"/>
        <item m="1" x="1997"/>
        <item m="1" x="1230"/>
        <item m="1" x="17"/>
        <item m="1" x="84"/>
        <item m="1" x="665"/>
        <item m="1" x="1407"/>
        <item m="1" x="257"/>
        <item m="1" x="1816"/>
        <item m="1" x="1188"/>
        <item m="1" x="1266"/>
        <item m="1" x="1615"/>
        <item m="1" x="1586"/>
        <item m="1" x="432"/>
        <item m="1" x="2041"/>
        <item m="1" x="2106"/>
        <item m="1" x="1443"/>
        <item m="1" x="2032"/>
        <item m="1" x="1030"/>
        <item m="1" x="1900"/>
        <item m="1" x="886"/>
        <item m="1" x="1476"/>
        <item m="1" x="2096"/>
        <item m="1" x="362"/>
        <item m="1" x="396"/>
        <item m="1" x="998"/>
        <item m="1" x="2165"/>
        <item m="1" x="960"/>
        <item m="1" x="491"/>
        <item m="1" x="2063"/>
        <item m="1" x="330"/>
        <item m="1" x="923"/>
        <item m="1" x="1511"/>
        <item m="1" x="1262"/>
        <item m="1" x="1687"/>
        <item m="1" x="1975"/>
        <item m="1" x="1620"/>
        <item m="1" x="2203"/>
        <item m="1" x="217"/>
        <item m="1" x="1549"/>
        <item m="1" x="417"/>
        <item m="1" x="1827"/>
        <item m="1" x="468"/>
        <item m="1" x="147"/>
        <item m="1" x="294"/>
        <item m="1" x="1655"/>
        <item m="1" x="1784"/>
        <item m="1" x="1066"/>
        <item m="1" x="2239"/>
        <item m="1" x="1193"/>
        <item m="1" x="629"/>
        <item m="1" x="504"/>
        <item m="1" x="1101"/>
        <item m="1" x="2275"/>
        <item m="1" x="577"/>
        <item m="1" x="1761"/>
        <item m="1" x="846"/>
        <item m="1" x="541"/>
        <item m="1" x="1141"/>
        <item m="1" x="1728"/>
        <item m="1" x="1692"/>
        <item m="1" x="613"/>
        <item m="1" x="426"/>
        <item m="1" x="1781"/>
        <item m="1" x="1373"/>
        <item m="1" x="223"/>
        <item m="1" x="811"/>
        <item m="1" x="2133"/>
        <item m="1" x="1177"/>
        <item m="1" x="1964"/>
        <item m="1" x="571"/>
        <item m="1" x="287"/>
        <item m="1" x="1210"/>
        <item m="1" x="1797"/>
        <item m="1" x="772"/>
        <item m="1" x="2176"/>
        <item m="1" x="2257"/>
        <item m="1" x="524"/>
        <item m="1" x="1121"/>
        <item m="1" x="67"/>
        <item m="1" x="32"/>
        <item m="1" x="1832"/>
        <item m="1" x="46"/>
        <item m="1" x="117"/>
        <item m="1" x="136"/>
        <item m="1" x="664"/>
        <item m="1" x="2251"/>
        <item m="1" x="10"/>
        <item m="1" x="77"/>
        <item m="1" x="646"/>
        <item m="1" x="1249"/>
        <item m="1" x="1868"/>
        <item m="1" x="717"/>
        <item m="1" x="828"/>
        <item m="1" x="860"/>
        <item m="1" x="102"/>
        <item m="1" x="682"/>
        <item m="1" x="1282"/>
        <item m="1" x="1905"/>
        <item m="1" x="171"/>
        <item m="1" x="212"/>
        <item m="1" x="240"/>
        <item m="1" x="640"/>
        <item m="1" x="713"/>
        <item m="1" x="752"/>
        <item m="1" x="1354"/>
        <item m="1" x="1943"/>
        <item m="1" x="206"/>
        <item m="1" x="789"/>
        <item m="1" x="1390"/>
        <item m="1" x="1979"/>
        <item m="1" x="934"/>
        <item m="1" x="865"/>
        <item m="1" x="1460"/>
        <item m="1" x="1424"/>
        <item m="1" x="2012"/>
        <item m="1" x="275"/>
        <item m="1" x="1005"/>
        <item m="1" x="2045"/>
        <item m="1" x="902"/>
        <item m="1" x="1494"/>
        <item m="1" x="2078"/>
        <item m="1" x="1048"/>
        <item m="1" x="940"/>
        <item m="1" x="2112"/>
        <item m="1" x="1636"/>
        <item m="1" x="1152"/>
        <item m="1" x="348"/>
        <item m="1" x="1531"/>
        <item m="1" x="1743"/>
        <item m="1" x="595"/>
        <item m="1" x="2222"/>
        <item m="1" x="379"/>
        <item m="1" x="976"/>
        <item m="1" x="1566"/>
        <item m="1" x="2147"/>
        <item m="1" x="416"/>
        <item m="1" x="1010"/>
        <item m="1" x="1604"/>
        <item m="1" x="2292"/>
        <item m="1" x="559"/>
        <item m="1" x="487"/>
        <item m="1" x="1082"/>
        <item m="1" x="1672"/>
        <item m="1" x="2255"/>
        <item m="1" x="15"/>
        <item m="1" x="1192"/>
        <item m="1" x="48"/>
        <item m="1" x="628"/>
        <item m="1" x="2182"/>
        <item m="1" x="451"/>
        <item m="1" x="1158"/>
        <item m="1" x="1779"/>
        <item m="1" x="1294"/>
        <item m="1" x="1366"/>
        <item m="1" x="1229"/>
        <item m="1" x="663"/>
        <item m="1" x="82"/>
        <item m="1" x="1436"/>
        <item m="1" x="523"/>
        <item m="1" x="1712"/>
        <item m="1" x="1850"/>
        <item m="1" x="1814"/>
        <item m="1" x="119"/>
        <item m="1" x="1300"/>
        <item m="1" x="152"/>
        <item m="1" x="735"/>
        <item m="1" x="186"/>
        <item m="1" x="1333"/>
        <item m="1" x="1222"/>
        <item m="1" x="1887"/>
        <item m="1" x="1372"/>
        <item m="1" x="1722"/>
        <item m="1" x="770"/>
        <item m="1" x="1265"/>
        <item m="1" x="1935"/>
        <item m="1" x="1406"/>
        <item m="1" x="1578"/>
        <item m="1" x="2005"/>
        <item m="1" x="2071"/>
        <item m="1" x="221"/>
        <item m="1" x="1995"/>
        <item m="1" x="1789"/>
        <item m="1" x="1860"/>
        <item m="1" x="1962"/>
        <item m="1" x="849"/>
        <item m="1" x="701"/>
        <item m="1" x="810"/>
        <item m="1" x="1442"/>
        <item m="1" x="2061"/>
        <item m="1" x="292"/>
        <item m="1" x="256"/>
        <item m="1" x="1510"/>
        <item m="1" x="329"/>
        <item m="1" x="885"/>
        <item m="1" x="1475"/>
        <item m="1" x="2094"/>
        <item m="1" x="2285"/>
        <item m="1" x="2213"/>
        <item m="1" x="2030"/>
        <item m="1" x="395"/>
        <item m="1" x="1077"/>
        <item m="1" x="322"/>
        <item m="1" x="959"/>
        <item m="1" x="2131"/>
        <item m="1" x="922"/>
        <item m="1" x="997"/>
        <item m="1" x="431"/>
        <item m="1" x="1029"/>
        <item m="1" x="2201"/>
        <item m="1" x="467"/>
        <item m="1" x="675"/>
        <item m="1" x="2163"/>
        <item m="1" x="1065"/>
        <item m="1" x="1654"/>
        <item m="1" x="1691"/>
        <item m="1" x="1585"/>
        <item m="1" x="1548"/>
        <item m="1" x="1619"/>
        <item m="1" x="745"/>
        <item m="1" x="2273"/>
        <item m="1" x="1120"/>
        <item m="1" x="821"/>
        <item m="1" x="540"/>
        <item m="1" x="2309"/>
        <item m="1" x="1727"/>
        <item m="1" x="2237"/>
        <item m="1" x="503"/>
        <item m="1" x="1100"/>
        <item m="1" x="1760"/>
        <item m="1" x="1176"/>
        <item m="1" x="612"/>
        <item m="1" x="30"/>
        <item m="1" x="894"/>
        <item m="1" x="968"/>
        <item m="1" x="1209"/>
        <item m="1" x="645"/>
        <item m="1" x="1248"/>
        <item m="1" x="1831"/>
        <item m="1" x="100"/>
        <item m="1" x="65"/>
        <item m="1" x="1039"/>
        <item m="1" x="1867"/>
        <item m="1" x="681"/>
        <item m="1" x="1110"/>
        <item m="1" x="1796"/>
        <item m="1" x="134"/>
        <item m="1" x="576"/>
        <item m="1" x="1140"/>
        <item m="1" x="238"/>
        <item m="1" x="1423"/>
        <item m="1" x="2011"/>
        <item m="1" x="827"/>
        <item m="1" x="273"/>
        <item m="1" x="1257"/>
        <item m="1" x="1184"/>
        <item m="1" x="1459"/>
        <item m="1" x="1493"/>
        <item m="1" x="864"/>
        <item m="1" x="1539"/>
        <item m="1" x="1318"/>
        <item m="1" x="1904"/>
        <item m="1" x="169"/>
        <item m="1" x="751"/>
        <item m="1" x="1352"/>
        <item m="1" x="1942"/>
        <item m="1" x="204"/>
        <item m="1" x="788"/>
        <item m="1" x="1389"/>
        <item m="1" x="1978"/>
        <item m="1" x="939"/>
        <item m="1" x="346"/>
        <item m="1" x="2077"/>
        <item m="1" x="311"/>
        <item m="1" x="1398"/>
        <item m="1" x="1281"/>
        <item m="1" x="1530"/>
        <item m="1" x="1612"/>
        <item m="1" x="2044"/>
        <item m="1" x="1752"/>
        <item m="1" x="1648"/>
        <item m="1" x="1895"/>
        <item m="1" x="1970"/>
        <item m="1" x="1682"/>
        <item m="1" x="213"/>
        <item m="1" x="2146"/>
        <item m="1" x="414"/>
        <item m="1" x="1009"/>
        <item m="1" x="377"/>
        <item m="1" x="387"/>
        <item m="1" x="460"/>
        <item m="1" x="1823"/>
        <item m="1" x="2181"/>
        <item m="1" x="2221"/>
        <item m="1" x="449"/>
        <item m="1" x="354"/>
        <item m="1" x="111"/>
        <item m="1" x="635"/>
        <item m="1" x="485"/>
        <item m="1" x="421"/>
        <item m="1" x="566"/>
        <item m="1" x="283"/>
        <item m="1" x="1923"/>
        <item m="1" x="1047"/>
        <item m="1" x="1635"/>
        <item m="1" x="1671"/>
        <item m="1" x="521"/>
        <item m="1" x="1742"/>
        <item m="1" x="1119"/>
        <item m="1" x="2254"/>
        <item m="1" x="14"/>
        <item m="1" x="1643"/>
        <item m="1" x="594"/>
        <item m="1" x="557"/>
        <item m="1" x="1719"/>
        <item m="1" x="1157"/>
        <item m="1" x="1711"/>
        <item m="1" x="1856"/>
        <item m="1" x="1073"/>
        <item m="1" x="1148"/>
        <item m="1" x="1217"/>
        <item m="1" x="1289"/>
        <item m="1" x="1361"/>
        <item m="1" x="1430"/>
        <item m="1" x="1500"/>
        <item m="1" x="1573"/>
        <item m="1" x="1191"/>
        <item m="1" x="1778"/>
        <item m="1" x="47"/>
        <item m="1" x="2291"/>
        <item m="1" x="1227"/>
        <item m="1" x="1813"/>
        <item m="1" x="661"/>
        <item m="1" x="81"/>
        <item m="1" x="118"/>
        <item m="1" x="1849"/>
        <item m="1" x="929"/>
        <item m="1" x="1930"/>
        <item m="1" x="1922"/>
        <item m="1" x="1886"/>
        <item m="1" x="626"/>
        <item m="1" x="2111"/>
        <item m="1" x="699"/>
        <item m="1" x="185"/>
        <item m="1" x="151"/>
        <item m="1" x="1405"/>
        <item m="1" x="779"/>
        <item m="1" x="855"/>
        <item m="1" x="1299"/>
        <item m="1" x="2029"/>
        <item m="1" x="1474"/>
        <item m="1" x="2244"/>
        <item m="1" x="2280"/>
        <item m="1" x="3"/>
        <item m="1" x="37"/>
        <item m="1" x="106"/>
        <item m="1" x="140"/>
        <item m="1" x="255"/>
        <item m="1" x="291"/>
        <item m="1" x="883"/>
        <item m="1" x="768"/>
        <item m="1" x="644"/>
        <item m="1" x="847"/>
        <item m="1" x="209"/>
        <item m="1" x="1994"/>
        <item m="1" x="1961"/>
        <item m="1" x="220"/>
        <item m="1" x="733"/>
        <item m="1" x="2060"/>
        <item m="1" x="808"/>
        <item m="1" x="328"/>
        <item m="1" x="920"/>
        <item m="1" x="71"/>
        <item m="1" x="394"/>
        <item m="1" x="317"/>
        <item m="1" x="2137"/>
        <item m="1" x="2170"/>
        <item m="1" x="1583"/>
        <item m="1" x="280"/>
        <item m="1" x="1547"/>
        <item m="1" x="2162"/>
        <item m="1" x="995"/>
        <item m="1" x="1618"/>
        <item m="1" x="2200"/>
        <item m="1" x="361"/>
        <item m="1" x="466"/>
        <item m="1" x="1652"/>
        <item m="1" x="245"/>
        <item m="1" x="351"/>
        <item m="1" x="382"/>
        <item m="1" x="2093"/>
        <item m="1" x="2236"/>
        <item m="1" x="2272"/>
        <item m="1" x="539"/>
        <item m="1" x="1138"/>
        <item m="1" x="1690"/>
        <item m="1" x="2308"/>
        <item m="1" x="575"/>
        <item m="1" x="1174"/>
        <item m="1" x="1098"/>
        <item m="1" x="2208"/>
        <item m="1" x="502"/>
        <item m="1" x="456"/>
        <item m="1" x="493"/>
        <item m="1" x="1508"/>
        <item m="1" x="1759"/>
        <item m="1" x="1247"/>
        <item m="1" x="1794"/>
        <item m="1" x="1830"/>
        <item m="1" x="29"/>
        <item m="1" x="430"/>
        <item m="1" x="1027"/>
        <item m="1" x="528"/>
        <item m="1" x="133"/>
        <item m="1" x="1070"/>
        <item m="1" x="611"/>
        <item m="1" x="1207"/>
        <item m="1" x="1903"/>
        <item m="1" x="1316"/>
        <item m="1" x="1105"/>
        <item m="1" x="1145"/>
        <item m="1" x="1181"/>
        <item m="1" x="1214"/>
        <item m="1" x="1286"/>
        <item m="1" x="1322"/>
        <item m="1" x="1865"/>
        <item m="1" x="1358"/>
        <item m="1" x="1940"/>
        <item m="1" x="203"/>
        <item m="1" x="716"/>
        <item m="1" x="1350"/>
        <item m="1" x="1063"/>
        <item m="1" x="1977"/>
        <item m="1" x="957"/>
        <item m="1" x="1498"/>
        <item m="1" x="1535"/>
        <item m="1" x="1570"/>
        <item m="1" x="1608"/>
        <item m="1" x="1387"/>
        <item m="1" x="787"/>
        <item m="1" x="826"/>
        <item m="1" x="563"/>
        <item m="1" x="601"/>
        <item m="1" x="633"/>
        <item m="1" x="670"/>
        <item m="1" x="706"/>
        <item m="1" x="741"/>
        <item m="1" x="776"/>
        <item m="1" x="816"/>
        <item m="1" x="852"/>
        <item m="1" x="1393"/>
        <item m="1" x="1640"/>
        <item m="1" x="1782"/>
        <item m="1" x="1491"/>
        <item m="1" x="2076"/>
        <item m="1" x="1677"/>
        <item m="1" x="1716"/>
        <item m="1" x="1747"/>
        <item m="1" x="1818"/>
        <item m="1" x="2009"/>
        <item m="1" x="1927"/>
        <item m="1" x="237"/>
        <item m="1" x="310"/>
        <item m="1" x="901"/>
        <item m="1" x="2109"/>
        <item m="1" x="1527"/>
        <item m="1" x="375"/>
        <item m="1" x="345"/>
        <item m="1" x="1999"/>
        <item m="1" x="2033"/>
        <item m="1" x="2065"/>
        <item m="1" x="2098"/>
        <item m="1" x="2135"/>
        <item m="1" x="1966"/>
        <item m="1" x="208"/>
        <item m="1" x="1421"/>
        <item m="1" x="1563"/>
        <item m="1" x="483"/>
        <item m="1" x="1117"/>
        <item m="1" x="1155"/>
        <item m="1" x="243"/>
        <item m="1" x="555"/>
        <item m="1" x="938"/>
        <item m="1" x="519"/>
        <item m="1" x="278"/>
        <item m="1" x="315"/>
        <item m="1" x="350"/>
        <item m="1" x="454"/>
        <item m="1" x="490"/>
        <item m="1" x="1775"/>
        <item m="1" x="2144"/>
        <item m="1" x="1669"/>
        <item m="1" x="2252"/>
        <item m="1" x="592"/>
        <item m="1" x="599"/>
        <item m="1" x="12"/>
        <item m="1" x="2168"/>
        <item m="1" x="2206"/>
        <item m="1" x="2242"/>
        <item m="1" x="2278"/>
        <item m="1" x="1"/>
        <item m="1" x="35"/>
        <item m="1" x="69"/>
        <item m="1" x="1225"/>
        <item m="1" x="44"/>
        <item m="1" x="115"/>
        <item m="1" x="1189"/>
        <item m="1" x="2218"/>
        <item m="1" x="1846"/>
        <item m="1" x="1632"/>
        <item m="1" x="412"/>
        <item m="1" x="1601"/>
        <item m="1" x="2179"/>
        <item m="1" x="1080"/>
        <item m="1" x="1883"/>
        <item m="1" x="668"/>
        <item m="1" x="1045"/>
        <item m="1" x="447"/>
        <item m="1" x="1008"/>
        <item m="1" x="697"/>
        <item m="1" x="182"/>
        <item m="1" x="1297"/>
        <item m="1" x="2288"/>
        <item m="1" x="704"/>
        <item m="1" x="739"/>
        <item m="1" x="775"/>
        <item m="1" x="814"/>
        <item m="1" x="851"/>
        <item m="1" x="889"/>
        <item m="1" x="926"/>
        <item m="1" x="963"/>
        <item m="1" x="1034"/>
        <item m="1" x="1069"/>
        <item m="1" x="1104"/>
        <item m="1" x="1144"/>
        <item m="1" x="1180"/>
        <item m="1" x="1213"/>
        <item m="1" x="1285"/>
        <item m="1" x="1252"/>
        <item m="1" x="1321"/>
        <item m="1" x="1403"/>
        <item m="1" x="1919"/>
        <item m="1" x="806"/>
        <item m="1" x="149"/>
        <item m="1" x="731"/>
        <item m="1" x="1331"/>
        <item m="1" x="1263"/>
        <item m="1" x="79"/>
        <item m="1" x="1810"/>
        <item m="1" x="1357"/>
        <item m="1" x="1992"/>
        <item m="1" x="253"/>
        <item m="1" x="1463"/>
        <item m="1" x="844"/>
        <item m="1" x="2198"/>
        <item m="1" x="219"/>
        <item m="1" x="1439"/>
        <item m="1" x="2026"/>
        <item m="1" x="1497"/>
        <item m="1" x="1746"/>
        <item m="1" x="1534"/>
        <item m="1" x="2205"/>
        <item m="1" x="2241"/>
        <item m="1" x="2277"/>
        <item m="1" x="1958"/>
        <item m="1" x="766"/>
        <item m="1" x="1639"/>
        <item m="1" x="2134"/>
        <item m="1" x="1369"/>
        <item m="1" x="289"/>
        <item m="1" x="1607"/>
        <item m="1" x="1676"/>
        <item m="1" x="173"/>
        <item m="1" x="1715"/>
        <item m="1" x="34"/>
        <item m="1" x="464"/>
        <item m="1" x="2167"/>
        <item m="1" x="500"/>
        <item m="1" x="1569"/>
        <item m="1" x="1688"/>
        <item m="1" x="1096"/>
        <item m="1" x="2312"/>
        <item m="1" x="242"/>
        <item m="1" x="138"/>
        <item m="1" x="881"/>
        <item m="1" x="1472"/>
        <item m="1" x="2057"/>
        <item m="1" x="326"/>
        <item m="1" x="918"/>
        <item m="1" x="1506"/>
        <item m="1" x="2090"/>
        <item m="1" x="359"/>
        <item m="1" x="955"/>
        <item m="1" x="1545"/>
        <item m="1" x="2128"/>
        <item m="1" x="391"/>
        <item m="1" x="993"/>
        <item m="1" x="1581"/>
        <item m="1" x="2160"/>
        <item m="1" x="428"/>
        <item m="1" x="1025"/>
        <item m="1" x="1616"/>
        <item m="1" x="2305"/>
        <item m="1" x="1863"/>
        <item m="1" x="277"/>
        <item m="1" x="104"/>
        <item m="1" x="314"/>
        <item m="1" x="1757"/>
        <item m="1" x="1724"/>
        <item m="1" x="1136"/>
        <item m="1" x="1172"/>
        <item m="1" x="2270"/>
        <item m="1" x="26"/>
        <item m="1" x="608"/>
        <item m="1" x="1792"/>
        <item m="1" x="62"/>
        <item m="1" x="642"/>
        <item m="1" x="1245"/>
        <item m="1" x="1828"/>
        <item m="1" x="97"/>
        <item m="1" x="1061"/>
        <item m="1" x="1650"/>
        <item m="1" x="526"/>
        <item m="1" x="1279"/>
        <item m="1" x="679"/>
        <item m="1" x="200"/>
        <item m="1" x="1385"/>
        <item m="1" x="597"/>
        <item m="1" x="630"/>
        <item m="1" x="561"/>
        <item m="1" x="1901"/>
        <item m="1" x="2234"/>
        <item m="1" x="785"/>
        <item m="1" x="168"/>
        <item m="1" x="749"/>
        <item m="1" x="573"/>
        <item m="1" x="1938"/>
        <item m="1" x="1348"/>
        <item m="1" x="489"/>
        <item m="1" x="1456"/>
        <item m="1" x="703"/>
        <item m="1" x="924"/>
        <item m="1" x="2042"/>
        <item m="1" x="2007"/>
        <item m="1" x="270"/>
        <item m="1" x="887"/>
        <item m="1" x="666"/>
        <item m="1" x="2074"/>
        <item m="1" x="342"/>
        <item m="1" x="823"/>
        <item m="1" x="2107"/>
        <item m="1" x="936"/>
        <item m="1" x="1525"/>
        <item m="1" x="961"/>
        <item m="1" x="307"/>
        <item m="1" x="898"/>
        <item m="1" x="1489"/>
        <item m="1" x="999"/>
        <item m="1" x="1031"/>
        <item m="1" x="1067"/>
        <item m="1" x="1102"/>
        <item m="1" x="972"/>
        <item m="1" x="1142"/>
        <item m="1" x="1355"/>
        <item m="1" x="1391"/>
        <item m="1" x="1425"/>
        <item m="1" x="536"/>
        <item m="1" x="409"/>
        <item m="1" x="372"/>
        <item m="1" x="1599"/>
        <item m="1" x="444"/>
        <item m="1" x="862"/>
        <item m="1" x="1495"/>
        <item m="1" x="1532"/>
        <item m="1" x="1567"/>
        <item m="1" x="1637"/>
        <item m="1" x="2177"/>
        <item m="1" x="1043"/>
        <item m="1" x="2216"/>
        <item m="1" x="1114"/>
        <item m="1" x="517"/>
        <item m="1" x="1605"/>
        <item m="1" x="1673"/>
        <item m="1" x="480"/>
        <item m="1" x="1079"/>
        <item m="1" x="1667"/>
        <item m="1" x="1630"/>
        <item m="1" x="553"/>
        <item m="1" x="1154"/>
        <item m="1" x="1851"/>
        <item m="1" x="1178"/>
        <item m="1" x="1996"/>
        <item m="1" x="1963"/>
        <item m="1" x="2132"/>
        <item m="1" x="2095"/>
        <item m="1" x="1924"/>
        <item m="1" x="11"/>
        <item m="1" x="1461"/>
        <item m="1" x="1774"/>
        <item m="1" x="2062"/>
        <item m="1" x="2274"/>
        <item m="1" x="1744"/>
        <item m="1" x="1780"/>
        <item m="1" x="2202"/>
        <item m="1" x="2310"/>
        <item m="1" x="2031"/>
        <item m="1" x="1739"/>
        <item m="1" x="43"/>
        <item m="1" x="2164"/>
        <item m="1" x="2238"/>
        <item m="1" x="1708"/>
        <item m="1" x="31"/>
        <item m="1" x="773"/>
        <item m="1" x="812"/>
        <item m="1" x="590"/>
        <item m="1" x="239"/>
        <item m="1" x="764"/>
        <item m="1" x="730"/>
        <item m="1" x="66"/>
        <item m="1" x="1882"/>
        <item m="1" x="1224"/>
        <item m="1" x="1261"/>
        <item m="1" x="1845"/>
        <item m="1" x="78"/>
        <item m="1" x="658"/>
        <item m="1" x="252"/>
        <item m="1" x="101"/>
        <item m="1" x="135"/>
        <item m="1" x="695"/>
        <item m="1" x="114"/>
        <item m="1" x="1991"/>
        <item m="1" x="1402"/>
        <item m="1" x="522"/>
        <item m="1" x="558"/>
        <item m="1" x="1438"/>
        <item m="1" x="218"/>
        <item m="1" x="804"/>
        <item m="1" x="842"/>
        <item m="1" x="148"/>
        <item m="1" x="1957"/>
        <item m="1" x="2025"/>
        <item m="1" x="1283"/>
        <item m="1" x="1713"/>
        <item m="1" x="1250"/>
        <item m="1" x="325"/>
        <item m="1" x="2056"/>
        <item m="1" x="378"/>
        <item m="1" x="486"/>
        <item m="1" x="450"/>
        <item m="1" x="415"/>
        <item m="1" x="347"/>
        <item m="1" x="312"/>
        <item m="1" x="1368"/>
        <item m="1" x="809"/>
        <item m="1" x="848"/>
        <item m="1" x="1296"/>
        <item m="1" x="1329"/>
        <item m="1" x="1918"/>
        <item m="1" x="1211"/>
        <item m="1" x="1815"/>
        <item m="1" x="274"/>
        <item m="1" x="288"/>
        <item m="1" x="879"/>
        <item m="1" x="181"/>
        <item m="1" x="916"/>
        <item m="1" x="390"/>
        <item m="1" x="734"/>
        <item m="1" x="769"/>
        <item m="1" x="1543"/>
        <item m="1" x="884"/>
        <item m="1" x="1505"/>
        <item m="1" x="1471"/>
        <item m="1" x="2089"/>
        <item m="1" x="427"/>
        <item m="1" x="953"/>
        <item m="1" x="2159"/>
        <item m="1" x="358"/>
        <item m="1" x="921"/>
        <item m="1" x="1023"/>
        <item m="1" x="2127"/>
        <item m="1" x="958"/>
        <item m="1" x="996"/>
        <item m="1" x="1028"/>
        <item m="1" x="1064"/>
        <item m="1" x="1422"/>
        <item m="1" x="1134"/>
        <item m="1" x="1170"/>
        <item m="1" x="1888"/>
        <item m="1" x="170"/>
        <item m="1" x="205"/>
        <item m="1" x="1208"/>
        <item m="1" x="627"/>
        <item m="1" x="662"/>
        <item m="1" x="700"/>
        <item m="1" x="1351"/>
        <item m="1" x="1458"/>
        <item m="1" x="1580"/>
        <item m="1" x="1139"/>
        <item m="1" x="1094"/>
        <item m="1" x="1756"/>
        <item m="1" x="2197"/>
        <item m="1" x="463"/>
        <item m="1" x="913"/>
        <item m="1" x="905"/>
        <item m="1" x="945"/>
        <item m="1" x="984"/>
        <item m="1" x="991"/>
        <item m="1" x="1492"/>
        <item m="1" x="1529"/>
        <item m="1" x="1317"/>
        <item m="1" x="1706"/>
        <item m="1" x="1099"/>
        <item m="1" x="1243"/>
        <item m="1" x="1205"/>
        <item m="1" x="1686"/>
        <item m="1" x="535"/>
        <item m="1" x="572"/>
        <item m="1" x="1812"/>
        <item m="1" x="1848"/>
        <item m="1" x="1175"/>
        <item m="1" x="607"/>
        <item m="1" x="1741"/>
        <item m="1" x="1777"/>
        <item m="1" x="1791"/>
        <item m="1" x="1603"/>
        <item m="1" x="1565"/>
        <item m="1" x="61"/>
        <item m="1" x="641"/>
        <item m="1" x="1826"/>
        <item m="1" x="167"/>
        <item m="1" x="1710"/>
        <item m="1" x="1885"/>
        <item m="1" x="714"/>
        <item m="1" x="1634"/>
        <item m="1" x="96"/>
        <item m="1" x="678"/>
        <item m="1" x="1277"/>
        <item m="1" x="1862"/>
        <item m="1" x="623"/>
        <item m="1" x="748"/>
        <item m="1" x="1899"/>
        <item m="1" x="1313"/>
        <item m="1" x="130"/>
        <item m="1" x="199"/>
        <item m="1" x="784"/>
        <item m="1" x="1383"/>
        <item m="1" x="1454"/>
        <item m="1" x="2040"/>
        <item m="1" x="306"/>
        <item m="1" x="897"/>
        <item m="1" x="1487"/>
        <item m="1" x="1346"/>
        <item m="1" x="1937"/>
        <item m="1" x="861"/>
        <item m="1" x="1974"/>
        <item m="1" x="269"/>
        <item m="1" x="1560"/>
        <item m="1" x="971"/>
        <item m="1" x="371"/>
        <item m="1" x="2105"/>
        <item m="1" x="25"/>
        <item m="1" x="2092"/>
        <item m="1" x="2059"/>
        <item m="1" x="1388"/>
        <item m="1" x="2142"/>
        <item m="1" x="1960"/>
        <item m="1" x="408"/>
        <item m="1" x="1921"/>
        <item m="1" x="2161"/>
        <item m="1" x="2175"/>
        <item m="1" x="341"/>
        <item m="1" x="2130"/>
        <item m="1" x="2073"/>
        <item m="1" x="64"/>
        <item m="1" x="2307"/>
        <item m="1" x="28"/>
        <item m="1" x="935"/>
        <item m="1" x="1523"/>
        <item m="1" x="1597"/>
        <item m="1" x="1328"/>
        <item m="1" x="2028"/>
        <item m="1" x="99"/>
        <item m="1" x="132"/>
        <item m="1" x="657"/>
        <item m="1" x="1260"/>
        <item m="1" x="1843"/>
        <item m="1" x="113"/>
        <item m="1" x="694"/>
        <item m="1" x="1295"/>
        <item m="1" x="202"/>
        <item m="1" x="443"/>
        <item m="1" x="1042"/>
        <item m="1" x="1628"/>
        <item m="1" x="2215"/>
        <item m="1" x="479"/>
        <item m="1" x="1078"/>
        <item m="1" x="76"/>
        <item m="1" x="1665"/>
        <item m="1" x="2250"/>
        <item m="1" x="516"/>
        <item m="1" x="1113"/>
        <item m="1" x="1704"/>
        <item m="1" x="2287"/>
        <item m="1" x="552"/>
        <item m="1" x="1737"/>
        <item m="1" x="9"/>
        <item m="1" x="589"/>
        <item m="1" x="1187"/>
        <item m="1" x="1772"/>
        <item m="1" x="1153"/>
        <item m="1" x="42"/>
        <item m="1" x="622"/>
        <item m="1" x="1223"/>
        <item m="1" x="1808"/>
        <item m="1" x="180"/>
        <item m="1" x="1367"/>
        <item m="1" x="216"/>
        <item m="1" x="803"/>
        <item m="1" x="1006"/>
        <item m="1" x="763"/>
        <item m="1" x="146"/>
        <item m="1" x="1401"/>
        <item m="1" x="309"/>
        <item m="1" x="1880"/>
        <item m="1" x="236"/>
        <item m="1" x="841"/>
        <item m="1" x="554"/>
        <item m="1" x="591"/>
        <item m="1" x="251"/>
        <item m="1" x="2023"/>
        <item m="1" x="324"/>
        <item m="1" x="2054"/>
        <item m="1" x="411"/>
        <item m="1" x="1955"/>
        <item m="1" x="344"/>
        <item m="1" x="374"/>
        <item m="1" x="1470"/>
        <item m="1" x="915"/>
        <item m="1" x="696"/>
        <item m="1" x="805"/>
        <item m="1" x="272"/>
        <item m="1" x="765"/>
        <item m="1" x="482"/>
        <item m="1" x="518"/>
        <item m="1" x="357"/>
        <item m="1" x="878"/>
        <item m="1" x="2087"/>
        <item m="1" x="1437"/>
        <item m="1" x="1504"/>
        <item m="1" x="624"/>
        <item m="1" x="843"/>
        <item m="1" x="880"/>
        <item m="1" x="2125"/>
        <item m="1" x="389"/>
        <item m="1" x="990"/>
        <item m="1" x="1579"/>
        <item m="1" x="2157"/>
        <item m="1" x="1542"/>
        <item m="1" x="425"/>
        <item m="1" x="1022"/>
        <item m="1" x="917"/>
        <item m="1" x="659"/>
        <item m="1" x="954"/>
        <item m="1" x="1058"/>
        <item m="1" x="446"/>
        <item m="1" x="1649"/>
        <item m="1" x="952"/>
        <item m="1" x="2195"/>
        <item m="1" x="2232"/>
        <item m="1" x="462"/>
        <item m="1" x="1133"/>
        <item m="1" x="499"/>
        <item m="1" x="1093"/>
        <item m="1" x="2268"/>
        <item m="1" x="534"/>
        <item m="1" x="1723"/>
        <item m="1" x="992"/>
        <item m="1" x="2303"/>
        <item m="1" x="1060"/>
        <item m="1" x="1095"/>
        <item m="1" x="1755"/>
        <item m="1" x="606"/>
        <item m="1" x="1204"/>
        <item m="1" x="24"/>
        <item m="1" x="1206"/>
        <item m="1" x="1244"/>
        <item m="1" x="1278"/>
        <item m="1" x="1314"/>
        <item m="1" x="1024"/>
        <item m="1" x="1242"/>
        <item m="1" x="1347"/>
        <item m="1" x="1384"/>
        <item m="1" x="570"/>
        <item m="1" x="1455"/>
        <item m="1" x="1276"/>
        <item m="1" x="639"/>
        <item m="1" x="1790"/>
        <item m="1" x="59"/>
        <item m="1" x="1825"/>
        <item m="1" x="94"/>
        <item m="1" x="1861"/>
        <item m="1" x="1898"/>
        <item m="1" x="165"/>
        <item m="1" x="747"/>
        <item m="1" x="1345"/>
        <item m="1" x="1382"/>
        <item m="1" x="677"/>
        <item m="1" x="267"/>
        <item m="1" x="896"/>
        <item m="1" x="1488"/>
        <item m="1" x="197"/>
        <item m="1" x="1973"/>
        <item m="1" x="1418"/>
        <item m="1" x="2006"/>
        <item m="1" x="1936"/>
        <item m="1" x="233"/>
        <item m="1" x="1419"/>
        <item m="1" x="1169"/>
        <item m="1" x="1135"/>
        <item m="1" x="1171"/>
        <item m="1" x="859"/>
        <item m="1" x="1486"/>
        <item m="1" x="2072"/>
        <item m="1" x="339"/>
        <item m="1" x="933"/>
        <item m="1" x="1522"/>
        <item m="1" x="2104"/>
        <item m="1" x="712"/>
        <item m="1" x="1312"/>
        <item m="1" x="1629"/>
        <item m="1" x="1666"/>
        <item m="1" x="1559"/>
        <item m="1" x="1561"/>
        <item m="1" x="783"/>
        <item m="1" x="970"/>
        <item m="1" x="1844"/>
        <item m="1" x="1598"/>
        <item m="1" x="370"/>
        <item m="1" x="2039"/>
        <item m="1" x="304"/>
        <item m="1" x="1705"/>
        <item m="1" x="1738"/>
        <item m="1" x="1773"/>
        <item m="1" x="1809"/>
        <item m="1" x="1524"/>
        <item m="1" x="1956"/>
        <item m="1" x="2214"/>
        <item m="1" x="1076"/>
        <item m="1" x="1453"/>
        <item m="1" x="1041"/>
        <item m="1" x="441"/>
        <item m="1" x="1596"/>
        <item m="1" x="1685"/>
        <item m="1" x="1990"/>
        <item m="1" x="2024"/>
        <item m="1" x="477"/>
        <item m="1" x="406"/>
        <item m="1" x="2286"/>
        <item m="1" x="1881"/>
        <item m="1" x="2174"/>
        <item m="1" x="1112"/>
        <item m="1" x="2055"/>
        <item m="1" x="1917"/>
        <item m="1" x="2249"/>
        <item m="1" x="514"/>
        <item m="1" x="1614"/>
        <item m="1" x="1151"/>
        <item m="1" x="1736"/>
        <item m="1" x="1703"/>
        <item m="1" x="2126"/>
        <item m="1" x="2158"/>
        <item m="1" x="8"/>
        <item m="1" x="587"/>
        <item m="1" x="1186"/>
        <item m="1" x="1664"/>
        <item m="1" x="620"/>
        <item m="1" x="1771"/>
        <item m="1" x="2196"/>
        <item m="1" x="2233"/>
        <item m="1" x="1807"/>
        <item m="1" x="1221"/>
        <item m="1" x="1879"/>
        <item m="1" x="145"/>
        <item m="1" x="1259"/>
        <item m="1" x="1842"/>
        <item m="1" x="112"/>
        <item m="1" x="692"/>
        <item m="1" x="1293"/>
        <item m="1" x="2124"/>
        <item m="1" x="41"/>
        <item m="1" x="950"/>
        <item m="1" x="356"/>
        <item m="1" x="988"/>
        <item m="1" x="1021"/>
        <item m="1" x="2088"/>
        <item m="1" x="75"/>
        <item m="1" x="2269"/>
        <item m="1" x="2304"/>
        <item m="1" x="388"/>
        <item m="1" x="1541"/>
        <item m="1" x="1577"/>
        <item m="1" x="424"/>
        <item m="1" x="2156"/>
        <item m="1" x="60"/>
        <item m="1" x="1056"/>
        <item m="1" x="1647"/>
        <item m="1" x="2231"/>
        <item m="1" x="2302"/>
        <item m="1" x="655"/>
        <item m="1" x="1091"/>
        <item m="1" x="461"/>
        <item m="1" x="498"/>
        <item m="1" x="128"/>
        <item m="1" x="711"/>
        <item m="1" x="2194"/>
        <item m="1" x="1754"/>
        <item m="1" x="305"/>
        <item m="1" x="340"/>
        <item m="1" x="442"/>
        <item m="1" x="676"/>
        <item m="1" x="1274"/>
        <item m="1" x="569"/>
        <item m="1" x="515"/>
        <item m="1" x="1684"/>
        <item m="1" x="2267"/>
        <item m="1" x="533"/>
        <item m="1" x="1131"/>
        <item m="1" x="478"/>
        <item m="1" x="166"/>
        <item m="1" x="198"/>
        <item m="1" x="234"/>
        <item m="1" x="268"/>
        <item m="1" x="93"/>
        <item m="1" x="95"/>
        <item m="1" x="407"/>
        <item m="1" x="1934"/>
        <item m="1" x="164"/>
        <item m="1" x="1897"/>
        <item m="1" x="129"/>
        <item m="1" x="605"/>
        <item m="1" x="1202"/>
        <item m="1" x="1788"/>
        <item m="1" x="746"/>
        <item m="1" x="1167"/>
        <item m="1" x="762"/>
        <item m="1" x="729"/>
        <item m="1" x="1344"/>
        <item m="1" x="2022"/>
        <item m="1" x="876"/>
        <item m="1" x="839"/>
        <item m="1" x="912"/>
        <item m="1" x="2053"/>
        <item m="1" x="728"/>
        <item m="1" x="323"/>
        <item m="1" x="1365"/>
        <item m="1" x="286"/>
        <item m="1" x="1954"/>
        <item m="1" x="1469"/>
        <item m="1" x="215"/>
        <item m="1" x="1434"/>
        <item m="1" x="1400"/>
        <item m="1" x="1989"/>
        <item m="1" x="250"/>
        <item m="1" x="179"/>
        <item m="1" x="1327"/>
        <item m="1" x="761"/>
        <item m="1" x="1916"/>
        <item m="1" x="801"/>
        <item m="1" x="196"/>
        <item m="1" x="782"/>
        <item m="1" x="1310"/>
        <item m="1" x="58"/>
        <item m="1" x="638"/>
        <item m="1" x="1240"/>
        <item m="1" x="232"/>
        <item m="1" x="822"/>
        <item m="1" x="1416"/>
        <item m="1" x="1381"/>
        <item m="1" x="1972"/>
        <item m="1" x="2038"/>
        <item m="1" x="2004"/>
        <item m="1" x="303"/>
        <item m="1" x="802"/>
        <item m="1" x="914"/>
        <item m="1" x="2070"/>
        <item m="1" x="338"/>
        <item m="1" x="932"/>
        <item m="1" x="1520"/>
        <item m="1" x="2103"/>
        <item m="1" x="551"/>
        <item m="1" x="588"/>
        <item m="1" x="621"/>
        <item m="1" x="656"/>
        <item m="1" x="693"/>
        <item m="1" x="1484"/>
        <item m="1" x="877"/>
        <item m="1" x="969"/>
        <item m="1" x="1557"/>
        <item m="1" x="369"/>
        <item m="1" x="989"/>
        <item m="1" x="895"/>
        <item m="1" x="1594"/>
        <item m="1" x="2173"/>
        <item m="1" x="440"/>
        <item m="1" x="1040"/>
        <item m="1" x="405"/>
        <item m="1" x="951"/>
        <item m="1" x="266"/>
        <item m="1" x="1627"/>
        <item m="1" x="1241"/>
        <item m="1" x="1275"/>
        <item m="1" x="1859"/>
        <item m="1" x="476"/>
        <item m="1" x="840"/>
        <item m="1" x="2212"/>
        <item m="1" x="2248"/>
        <item m="1" x="1075"/>
        <item m="1" x="1769"/>
        <item m="1" x="1185"/>
        <item m="1" x="586"/>
        <item m="1" x="7"/>
        <item m="1" x="1734"/>
        <item m="1" x="1452"/>
        <item m="1" x="654"/>
        <item m="1" x="1258"/>
        <item m="1" x="1451"/>
        <item m="1" x="110"/>
        <item m="1" x="691"/>
        <item m="1" x="2086"/>
        <item m="1" x="1485"/>
        <item m="1" x="1521"/>
        <item m="1" x="513"/>
        <item m="1" x="1805"/>
        <item m="1" x="1662"/>
        <item m="1" x="1057"/>
        <item m="1" x="1092"/>
        <item m="1" x="1132"/>
        <item m="1" x="1168"/>
        <item m="1" x="1203"/>
        <item m="1" x="800"/>
        <item m="1" x="1399"/>
        <item m="1" x="1987"/>
        <item m="1" x="1004"/>
        <item m="1" x="178"/>
        <item m="1" x="1417"/>
        <item m="1" x="858"/>
        <item m="1" x="285"/>
        <item m="1" x="144"/>
        <item m="1" x="1558"/>
        <item m="1" x="2141"/>
        <item m="1" x="1540"/>
        <item m="1" x="249"/>
        <item m="1" x="838"/>
        <item m="1" x="1735"/>
        <item m="1" x="1770"/>
        <item m="1" x="1364"/>
        <item m="1" x="1952"/>
        <item m="1" x="1433"/>
        <item m="1" x="2020"/>
        <item m="1" x="2052"/>
        <item m="1" x="2122"/>
        <item m="1" x="2085"/>
        <item m="1" x="1914"/>
        <item m="1" x="727"/>
        <item m="1" x="1595"/>
        <item m="1" x="911"/>
        <item m="1" x="1503"/>
        <item m="1" x="386"/>
        <item m="1" x="2021"/>
        <item m="1" x="1576"/>
        <item m="1" x="1326"/>
        <item m="1" x="1201"/>
        <item m="1" x="1878"/>
        <item m="1" x="497"/>
        <item m="1" x="423"/>
        <item m="1" x="1020"/>
        <item m="1" x="1613"/>
        <item m="1" x="2192"/>
        <item m="1" x="459"/>
        <item m="1" x="1055"/>
        <item m="1" x="1311"/>
        <item m="1" x="619"/>
        <item m="1" x="1292"/>
        <item m="1" x="1646"/>
        <item m="1" x="23"/>
        <item m="1" x="604"/>
        <item m="1" x="1787"/>
        <item m="1" x="2155"/>
        <item m="1" x="1683"/>
        <item m="1" x="1721"/>
        <item m="1" x="568"/>
        <item m="1" x="1239"/>
        <item m="1" x="2265"/>
        <item m="1" x="532"/>
        <item m="1" x="1130"/>
        <item m="1" x="2300"/>
        <item m="1" x="1166"/>
        <item m="1" x="1753"/>
        <item m="1" x="1953"/>
        <item m="1" x="1988"/>
        <item m="1" x="2301"/>
        <item m="1" x="781"/>
        <item m="1" x="56"/>
        <item m="1" x="637"/>
        <item m="1" x="987"/>
        <item m="1" x="163"/>
        <item m="1" x="195"/>
        <item m="1" x="231"/>
        <item m="1" x="265"/>
        <item m="1" x="2123"/>
        <item m="1" x="1915"/>
        <item m="1" x="1663"/>
        <item m="1" x="1702"/>
        <item m="1" x="1806"/>
        <item m="1" x="1701"/>
        <item m="1" x="1877"/>
        <item m="1" x="2154"/>
        <item m="1" x="40"/>
        <item m="1" x="931"/>
        <item m="1" x="2230"/>
        <item m="1" x="2266"/>
        <item m="1" x="1483"/>
        <item m="1" x="2069"/>
        <item m="1" x="194"/>
        <item m="1" x="438"/>
        <item m="1" x="1038"/>
        <item m="1" x="893"/>
        <item m="1" x="321"/>
        <item m="1" x="875"/>
        <item m="1" x="710"/>
        <item m="1" x="1309"/>
        <item m="1" x="1896"/>
        <item m="1" x="162"/>
        <item m="1" x="744"/>
        <item m="1" x="1933"/>
        <item m="1" x="1343"/>
        <item m="1" x="1824"/>
        <item m="1" x="91"/>
        <item m="1" x="674"/>
        <item m="1" x="57"/>
        <item m="1" x="92"/>
        <item m="1" x="1380"/>
        <item m="1" x="1971"/>
        <item m="1" x="230"/>
        <item m="1" x="820"/>
        <item m="1" x="1415"/>
        <item m="1" x="2003"/>
        <item m="1" x="1111"/>
        <item m="1" x="403"/>
        <item m="1" x="301"/>
        <item m="1" x="2211"/>
        <item m="1" x="548"/>
        <item m="1" x="2284"/>
        <item m="1" x="1519"/>
        <item m="1" x="2102"/>
        <item m="1" x="368"/>
        <item m="1" x="967"/>
        <item m="1" x="1556"/>
        <item m="1" x="2140"/>
        <item m="1" x="618"/>
        <item m="1" x="2247"/>
        <item m="1" x="475"/>
        <item m="1" x="726"/>
        <item m="1" x="1733"/>
        <item m="1" x="799"/>
        <item m="1" x="1450"/>
        <item m="1" x="264"/>
        <item m="1" x="74"/>
        <item m="1" x="760"/>
        <item m="1" x="1468"/>
        <item m="1" x="1661"/>
        <item m="1" x="949"/>
        <item m="1" x="986"/>
        <item m="1" x="336"/>
        <item m="1" x="2037"/>
        <item m="1" x="1109"/>
        <item m="1" x="1019"/>
        <item m="1" x="550"/>
        <item m="1" x="404"/>
        <item m="1" x="439"/>
        <item m="1" x="109"/>
        <item m="1" x="1840"/>
        <item m="1" x="690"/>
        <item m="1" x="1841"/>
        <item m="1" x="857"/>
        <item m="1" x="2193"/>
        <item m="1" x="653"/>
        <item m="1" x="1876"/>
        <item m="1" x="1054"/>
        <item m="1" x="1090"/>
        <item m="1" x="1129"/>
        <item m="1" x="1165"/>
        <item m="1" x="1200"/>
        <item m="1" x="837"/>
        <item m="1" x="874"/>
        <item m="1" x="127"/>
        <item m="1" x="143"/>
        <item m="1" x="302"/>
        <item m="1" x="584"/>
        <item m="1" x="1183"/>
        <item m="1" x="1768"/>
        <item m="1" x="39"/>
        <item m="1" x="617"/>
        <item m="1" x="1219"/>
        <item m="1" x="1804"/>
        <item m="1" x="73"/>
        <item m="1" x="652"/>
        <item m="1" x="1256"/>
        <item m="1" x="1913"/>
        <item m="1" x="1273"/>
        <item m="1" x="948"/>
        <item m="1" x="355"/>
        <item m="1" x="1363"/>
        <item m="1" x="1700"/>
        <item m="1" x="2283"/>
        <item m="1" x="985"/>
        <item m="1" x="1575"/>
        <item m="1" x="1432"/>
        <item m="1" x="2019"/>
        <item m="1" x="284"/>
        <item m="1" x="725"/>
        <item m="1" x="320"/>
        <item m="1" x="1538"/>
        <item m="1" x="2121"/>
        <item m="1" x="2229"/>
        <item m="1" x="385"/>
        <item m="1" x="910"/>
        <item m="1" x="1238"/>
        <item m="1" x="1291"/>
        <item m="1" x="1626"/>
        <item m="1" x="248"/>
        <item m="1" x="836"/>
        <item m="1" x="873"/>
        <item m="1" x="1502"/>
        <item m="1" x="422"/>
        <item m="1" x="2084"/>
        <item m="1" x="1220"/>
        <item m="1" x="798"/>
        <item m="1" x="1397"/>
        <item m="1" x="337"/>
        <item m="1" x="585"/>
        <item m="1" x="1611"/>
        <item m="1" x="1951"/>
        <item m="1" x="214"/>
        <item m="1" x="2051"/>
        <item m="1" x="909"/>
        <item m="1" x="1467"/>
        <item m="1" x="177"/>
        <item m="1" x="759"/>
        <item m="1" x="1950"/>
        <item m="1" x="1150"/>
        <item m="1" x="512"/>
        <item m="1" x="549"/>
        <item m="1" x="1342"/>
        <item m="1" x="1379"/>
        <item m="1" x="1414"/>
        <item m="1" x="2018"/>
        <item m="1" x="2228"/>
        <item m="1" x="16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41">
        <item m="1" x="1478"/>
        <item m="1" x="1860"/>
        <item m="1" x="1377"/>
        <item m="1" x="1504"/>
        <item m="1" x="423"/>
        <item m="1" x="871"/>
        <item m="1" x="905"/>
        <item m="1" x="2030"/>
        <item m="1" x="937"/>
        <item m="1" x="2082"/>
        <item m="1" x="1376"/>
        <item m="1" x="281"/>
        <item m="1" x="735"/>
        <item m="1" x="542"/>
        <item m="1" x="1518"/>
        <item m="1" x="1654"/>
        <item m="1" x="2220"/>
        <item m="1" x="2074"/>
        <item m="1" x="49"/>
        <item m="1" x="1101"/>
        <item m="1" x="1733"/>
        <item m="1" x="1804"/>
        <item m="1" x="15"/>
        <item m="1" x="574"/>
        <item m="1" x="865"/>
        <item m="1" x="992"/>
        <item m="1" x="1024"/>
        <item m="1" x="951"/>
        <item m="1" x="558"/>
        <item m="1" x="1751"/>
        <item m="1" x="589"/>
        <item m="1" x="772"/>
        <item m="1" x="942"/>
        <item m="1" x="406"/>
        <item m="1" x="842"/>
        <item m="1" x="1995"/>
        <item m="1" x="431"/>
        <item m="1" x="503"/>
        <item m="1" x="932"/>
        <item m="1" x="1760"/>
        <item m="1" x="1803"/>
        <item m="1" x="2103"/>
        <item m="1" x="714"/>
        <item m="1" x="1505"/>
        <item m="1" x="633"/>
        <item m="1" x="468"/>
        <item m="1" x="466"/>
        <item m="1" x="1895"/>
        <item m="1" x="1935"/>
        <item m="1" x="34"/>
        <item m="1" x="2163"/>
        <item m="1" x="1714"/>
        <item m="1" x="1192"/>
        <item m="1" x="1079"/>
        <item m="1" x="804"/>
        <item m="1" x="549"/>
        <item m="1" x="481"/>
        <item m="1" x="233"/>
        <item m="1" x="646"/>
        <item m="1" x="1631"/>
        <item m="1" x="1707"/>
        <item m="1" x="763"/>
        <item m="1" x="1071"/>
        <item m="1" x="46"/>
        <item m="1" x="1174"/>
        <item m="1" x="995"/>
        <item m="1" x="1062"/>
        <item m="1" x="890"/>
        <item m="1" x="84"/>
        <item m="1" x="1835"/>
        <item m="1" x="1904"/>
        <item m="1" x="526"/>
        <item m="1" x="1501"/>
        <item m="1" x="660"/>
        <item m="1" x="1226"/>
        <item m="1" x="699"/>
        <item m="1" x="777"/>
        <item m="1" x="1966"/>
        <item m="1" x="1366"/>
        <item m="1" x="1784"/>
        <item m="1" x="2193"/>
        <item m="1" x="1566"/>
        <item m="1" x="943"/>
        <item m="1" x="2229"/>
        <item m="1" x="1043"/>
        <item m="1" x="1426"/>
        <item m="1" x="1555"/>
        <item m="1" x="838"/>
        <item m="1" x="899"/>
        <item m="1" x="1415"/>
        <item m="1" x="1383"/>
        <item m="1" x="1916"/>
        <item m="1" x="224"/>
        <item m="1" x="1302"/>
        <item m="1" x="1874"/>
        <item m="1" x="1947"/>
        <item m="1" x="429"/>
        <item m="1" x="41"/>
        <item m="1" x="1375"/>
        <item m="1" x="489"/>
        <item m="1" x="780"/>
        <item m="1" x="971"/>
        <item m="1" x="1112"/>
        <item m="1" x="447"/>
        <item m="1" x="940"/>
        <item m="1" x="1313"/>
        <item m="1" x="727"/>
        <item m="1" x="2150"/>
        <item m="1" x="2110"/>
        <item m="1" x="2180"/>
        <item m="1" x="721"/>
        <item m="1" x="603"/>
        <item m="1" x="1034"/>
        <item m="1" x="1274"/>
        <item m="1" x="256"/>
        <item m="1" x="993"/>
        <item m="1" x="1759"/>
        <item m="1" x="1797"/>
        <item m="1" x="1864"/>
        <item m="1" x="1576"/>
        <item m="1" x="416"/>
        <item m="1" x="1544"/>
        <item m="1" x="1820"/>
        <item m="1" x="147"/>
        <item m="1" x="1003"/>
        <item m="1" x="1208"/>
        <item m="1" x="1460"/>
        <item m="1" x="1975"/>
        <item m="1" x="1985"/>
        <item m="1" x="967"/>
        <item m="1" x="1058"/>
        <item m="1" x="1078"/>
        <item m="1" x="505"/>
        <item m="1" x="668"/>
        <item m="1" x="887"/>
        <item m="1" x="100"/>
        <item m="1" x="476"/>
        <item m="1" x="938"/>
        <item m="1" x="1440"/>
        <item m="1" x="741"/>
        <item m="1" x="1007"/>
        <item m="1" x="1205"/>
        <item m="1" x="99"/>
        <item m="1" x="399"/>
        <item m="1" x="859"/>
        <item m="1" x="1055"/>
        <item m="1" x="1118"/>
        <item m="1" x="2168"/>
        <item m="1" x="277"/>
        <item m="1" x="837"/>
        <item m="1" x="1301"/>
        <item m="1" x="1670"/>
        <item m="1" x="1880"/>
        <item m="1" x="2200"/>
        <item m="1" x="672"/>
        <item m="1" x="922"/>
        <item m="1" x="1031"/>
        <item m="1" x="1472"/>
        <item m="1" x="567"/>
        <item m="1" x="678"/>
        <item m="1" x="653"/>
        <item m="1" x="822"/>
        <item m="1" x="845"/>
        <item m="1" x="1552"/>
        <item m="1" x="819"/>
        <item m="1" x="1381"/>
        <item m="1" x="1056"/>
        <item m="1" x="297"/>
        <item m="1" x="674"/>
        <item m="1" x="1136"/>
        <item m="1" x="2009"/>
        <item m="1" x="1416"/>
        <item m="1" x="1515"/>
        <item m="1" x="664"/>
        <item m="1" x="1053"/>
        <item m="1" x="1919"/>
        <item m="1" x="2218"/>
        <item m="1" x="634"/>
        <item m="1" x="1187"/>
        <item m="1" x="1640"/>
        <item m="1" x="2073"/>
        <item m="1" x="614"/>
        <item m="1" x="785"/>
        <item m="1" x="1343"/>
        <item m="1" x="301"/>
        <item m="1" x="720"/>
        <item m="1" x="719"/>
        <item m="1" x="914"/>
        <item m="1" x="1404"/>
        <item m="1" x="1753"/>
        <item m="1" x="1900"/>
        <item m="1" x="231"/>
        <item m="1" x="912"/>
        <item m="1" x="1896"/>
        <item m="1" x="520"/>
        <item m="1" x="602"/>
        <item m="1" x="2049"/>
        <item m="1" x="643"/>
        <item m="1" x="889"/>
        <item m="1" x="641"/>
        <item m="1" x="1477"/>
        <item m="1" x="82"/>
        <item m="1" x="895"/>
        <item m="1" x="918"/>
        <item m="1" x="1217"/>
        <item m="1" x="1805"/>
        <item m="1" x="1765"/>
        <item m="1" x="1773"/>
        <item m="1" x="186"/>
        <item m="1" x="357"/>
        <item m="1" x="373"/>
        <item m="1" x="415"/>
        <item m="1" x="1570"/>
        <item m="1" x="2178"/>
        <item m="1" x="2223"/>
        <item m="1" x="430"/>
        <item m="1" x="973"/>
        <item m="1" x="2039"/>
        <item m="1" x="2201"/>
        <item m="1" x="153"/>
        <item m="1" x="1171"/>
        <item m="1" x="436"/>
        <item m="1" x="1444"/>
        <item m="1" x="1605"/>
        <item m="1" x="1123"/>
        <item m="1" x="1279"/>
        <item m="1" x="198"/>
        <item m="1" x="600"/>
        <item m="1" x="1025"/>
        <item m="1" x="1168"/>
        <item m="1" x="1525"/>
        <item m="1" x="160"/>
        <item m="1" x="187"/>
        <item m="1" x="1447"/>
        <item m="1" x="2187"/>
        <item m="1" x="316"/>
        <item m="1" x="879"/>
        <item m="1" x="891"/>
        <item m="1" x="1954"/>
        <item m="1" x="1005"/>
        <item m="1" x="1356"/>
        <item m="1" x="329"/>
        <item m="1" x="680"/>
        <item m="1" x="1482"/>
        <item m="1" x="66"/>
        <item m="1" x="644"/>
        <item m="1" x="679"/>
        <item m="1" x="935"/>
        <item m="1" x="628"/>
        <item m="1" x="824"/>
        <item m="1" x="2219"/>
        <item m="1" x="116"/>
        <item m="1" x="1651"/>
        <item m="1" x="1962"/>
        <item m="1" x="1345"/>
        <item m="1" x="417"/>
        <item m="1" x="722"/>
        <item m="1" x="1304"/>
        <item m="1" x="2145"/>
        <item m="1" x="207"/>
        <item m="1" x="648"/>
        <item m="1" x="734"/>
        <item m="1" x="1222"/>
        <item m="1" x="1700"/>
        <item m="1" x="4"/>
        <item m="1" x="585"/>
        <item m="1" x="2151"/>
        <item m="1" x="1687"/>
        <item m="1" x="1699"/>
        <item m="1" x="1493"/>
        <item m="1" x="1500"/>
        <item m="1" x="1562"/>
        <item m="1" x="2036"/>
        <item m="1" x="2199"/>
        <item m="1" x="353"/>
        <item m="1" x="908"/>
        <item m="1" x="1102"/>
        <item m="1" x="1589"/>
        <item m="1" x="1745"/>
        <item m="1" x="2120"/>
        <item m="1" x="976"/>
        <item m="1" x="1855"/>
        <item m="1" x="862"/>
        <item m="1" x="958"/>
        <item m="1" x="765"/>
        <item m="1" x="1275"/>
        <item m="1" x="2027"/>
        <item m="1" x="827"/>
        <item m="1" x="1335"/>
        <item m="1" x="1512"/>
        <item m="1" x="1991"/>
        <item m="1" x="2231"/>
        <item m="1" x="771"/>
        <item m="1" x="1509"/>
        <item m="1" x="1870"/>
        <item m="1" x="2066"/>
        <item m="1" x="636"/>
        <item m="1" x="292"/>
        <item m="1" x="367"/>
        <item m="1" x="760"/>
        <item m="1" x="1261"/>
        <item m="1" x="1716"/>
        <item m="1" x="1970"/>
        <item m="1" x="2032"/>
        <item m="1" x="48"/>
        <item m="1" x="209"/>
        <item m="1" x="657"/>
        <item m="1" x="687"/>
        <item m="1" x="2204"/>
        <item m="1" x="196"/>
        <item m="1" x="812"/>
        <item m="1" x="29"/>
        <item m="1" x="38"/>
        <item m="1" x="204"/>
        <item m="1" x="268"/>
        <item m="1" x="1006"/>
        <item m="1" x="1831"/>
        <item m="1" x="1"/>
        <item m="1" x="128"/>
        <item m="1" x="201"/>
        <item m="1" x="638"/>
        <item m="1" x="1382"/>
        <item m="1" x="286"/>
        <item m="1" x="1270"/>
        <item m="1" x="108"/>
        <item m="1" x="122"/>
        <item m="1" x="126"/>
        <item m="1" x="170"/>
        <item m="1" x="347"/>
        <item m="1" x="1590"/>
        <item m="1" x="1723"/>
        <item m="1" x="1925"/>
        <item m="1" x="2045"/>
        <item m="1" x="257"/>
        <item m="1" x="681"/>
        <item m="1" x="986"/>
        <item m="1" x="1014"/>
        <item m="1" x="1289"/>
        <item m="1" x="1577"/>
        <item m="1" x="1666"/>
        <item m="1" x="2098"/>
        <item m="1" x="2125"/>
        <item m="1" x="998"/>
        <item m="1" x="1856"/>
        <item m="1" x="385"/>
        <item m="1" x="499"/>
        <item m="1" x="710"/>
        <item m="1" x="726"/>
        <item m="1" x="1022"/>
        <item m="1" x="1234"/>
        <item m="1" x="62"/>
        <item m="1" x="510"/>
        <item m="1" x="792"/>
        <item m="1" x="1347"/>
        <item m="1" x="2077"/>
        <item m="1" x="2"/>
        <item m="1" x="7"/>
        <item m="1" x="93"/>
        <item m="1" x="167"/>
        <item m="1" x="551"/>
        <item m="1" x="798"/>
        <item m="1" x="1568"/>
        <item m="1" x="2040"/>
        <item m="1" x="2052"/>
        <item m="1" x="1295"/>
        <item m="1" x="1778"/>
        <item m="1" x="1817"/>
        <item m="1" x="1823"/>
        <item m="1" x="69"/>
        <item m="1" x="259"/>
        <item m="1" x="990"/>
        <item m="1" x="1582"/>
        <item m="1" x="1877"/>
        <item m="1" x="2108"/>
        <item m="1" x="2142"/>
        <item m="1" x="2239"/>
        <item m="1" x="924"/>
        <item m="1" x="1015"/>
        <item m="1" x="1041"/>
        <item m="1" x="1592"/>
        <item m="1" x="1750"/>
        <item m="1" x="469"/>
        <item m="1" x="768"/>
        <item m="1" x="965"/>
        <item m="1" x="1486"/>
        <item m="1" x="2029"/>
        <item m="1" x="221"/>
        <item m="1" x="287"/>
        <item m="1" x="444"/>
        <item m="1" x="1271"/>
        <item m="1" x="1503"/>
        <item m="1" x="1737"/>
        <item m="1" x="2160"/>
        <item m="1" x="293"/>
        <item m="1" x="356"/>
        <item m="1" x="957"/>
        <item m="1" x="1230"/>
        <item m="1" x="1844"/>
        <item m="1" x="2228"/>
        <item m="1" x="241"/>
        <item m="1" x="1193"/>
        <item m="1" x="1374"/>
        <item m="1" x="1483"/>
        <item m="1" x="1625"/>
        <item m="1" x="409"/>
        <item m="1" x="491"/>
        <item m="1" x="569"/>
        <item m="1" x="910"/>
        <item m="1" x="1473"/>
        <item m="1" x="1487"/>
        <item m="1" x="1557"/>
        <item m="1" x="1564"/>
        <item m="1" x="1742"/>
        <item m="1" x="1858"/>
        <item m="1" x="25"/>
        <item m="1" x="518"/>
        <item m="1" x="787"/>
        <item m="1" x="825"/>
        <item m="1" x="968"/>
        <item m="1" x="1002"/>
        <item m="1" x="1808"/>
        <item m="1" x="1814"/>
        <item m="1" x="183"/>
        <item m="1" x="343"/>
        <item m="1" x="783"/>
        <item m="1" x="1001"/>
        <item m="1" x="1308"/>
        <item m="1" x="1326"/>
        <item m="1" x="1541"/>
        <item m="1" x="1732"/>
        <item m="1" x="1826"/>
        <item m="1" x="439"/>
        <item m="1" x="831"/>
        <item m="1" x="869"/>
        <item m="1" x="1162"/>
        <item m="1" x="1530"/>
        <item m="1" x="1695"/>
        <item m="1" x="1757"/>
        <item m="1" x="1798"/>
        <item m="1" x="2086"/>
        <item m="1" x="18"/>
        <item m="1" x="252"/>
        <item m="1" x="611"/>
        <item m="1" x="1774"/>
        <item m="1" x="1779"/>
        <item m="1" x="1976"/>
        <item m="1" x="246"/>
        <item m="1" x="250"/>
        <item m="1" x="784"/>
        <item m="1" x="969"/>
        <item m="1" x="1467"/>
        <item m="1" x="129"/>
        <item m="1" x="163"/>
        <item m="1" x="274"/>
        <item m="1" x="348"/>
        <item m="1" x="442"/>
        <item m="1" x="511"/>
        <item m="1" x="1140"/>
        <item m="1" x="1169"/>
        <item m="1" x="1333"/>
        <item m="1" x="1434"/>
        <item m="1" x="1462"/>
        <item m="1" x="1667"/>
        <item m="1" x="1684"/>
        <item m="1" x="2046"/>
        <item m="1" x="379"/>
        <item m="1" x="419"/>
        <item m="1" x="494"/>
        <item m="1" x="1188"/>
        <item m="1" x="1403"/>
        <item m="1" x="1408"/>
        <item m="1" x="2238"/>
        <item m="1" x="892"/>
        <item m="1" x="1362"/>
        <item m="1" x="2037"/>
        <item m="1" x="333"/>
        <item m="1" x="213"/>
        <item m="1" x="425"/>
        <item m="1" x="840"/>
        <item m="1" x="846"/>
        <item m="1" x="988"/>
        <item m="1" x="1051"/>
        <item m="1" x="1243"/>
        <item m="1" x="1348"/>
        <item m="1" x="1800"/>
        <item m="1" x="40"/>
        <item m="1" x="203"/>
        <item m="1" x="440"/>
        <item m="1" x="761"/>
        <item m="1" x="987"/>
        <item m="1" x="1812"/>
        <item m="1" x="2171"/>
        <item m="1" x="305"/>
        <item m="1" x="314"/>
        <item m="1" x="718"/>
        <item m="1" x="728"/>
        <item m="1" x="778"/>
        <item m="1" x="1050"/>
        <item m="1" x="1156"/>
        <item m="1" x="1538"/>
        <item m="1" x="1692"/>
        <item m="1" x="1849"/>
        <item m="1" x="665"/>
        <item m="1" x="1099"/>
        <item m="1" x="1479"/>
        <item m="1" x="1494"/>
        <item m="1" x="1871"/>
        <item m="1" x="149"/>
        <item m="1" x="766"/>
        <item m="1" x="816"/>
        <item m="1" x="1349"/>
        <item m="1" x="1466"/>
        <item m="1" x="1475"/>
        <item m="1" x="1581"/>
        <item m="1" x="1652"/>
        <item m="1" x="1657"/>
        <item m="1" x="59"/>
        <item m="1" x="102"/>
        <item m="1" x="465"/>
        <item m="1" x="1324"/>
        <item m="1" x="1825"/>
        <item m="1" x="1841"/>
        <item m="1" x="124"/>
        <item m="1" x="234"/>
        <item m="1" x="500"/>
        <item m="1" x="513"/>
        <item m="1" x="1083"/>
        <item m="1" x="2196"/>
        <item m="1" x="157"/>
        <item m="1" x="386"/>
        <item m="1" x="1114"/>
        <item m="1" x="1223"/>
        <item m="1" x="1630"/>
        <item m="1" x="997"/>
        <item m="1" x="1531"/>
        <item m="1" x="1950"/>
        <item m="1" x="295"/>
        <item m="1" x="731"/>
        <item m="1" x="982"/>
        <item m="1" x="1795"/>
        <item m="1" x="180"/>
        <item m="1" x="370"/>
        <item m="1" x="743"/>
        <item m="1" x="1794"/>
        <item m="1" x="2123"/>
        <item m="1" x="260"/>
        <item m="1" x="546"/>
        <item m="1" x="555"/>
        <item m="1" x="621"/>
        <item m="1" x="1821"/>
        <item m="1" x="2070"/>
        <item m="1" x="2088"/>
        <item m="1" x="2101"/>
        <item m="1" x="460"/>
        <item m="1" x="1930"/>
        <item m="1" x="53"/>
        <item m="1" x="522"/>
        <item m="1" x="828"/>
        <item m="1" x="2002"/>
        <item m="1" x="235"/>
        <item m="1" x="387"/>
        <item m="1" x="795"/>
        <item m="1" x="984"/>
        <item m="1" x="1091"/>
        <item m="1" x="1182"/>
        <item m="1" x="1373"/>
        <item m="1" x="1669"/>
        <item m="1" x="1974"/>
        <item m="1" x="525"/>
        <item m="1" x="1610"/>
        <item m="1" x="214"/>
        <item m="1" x="1042"/>
        <item m="1" x="1497"/>
        <item m="1" x="401"/>
        <item m="1" x="684"/>
        <item m="1" x="861"/>
        <item m="1" x="1663"/>
        <item m="1" x="77"/>
        <item m="1" x="1249"/>
        <item m="1" x="1451"/>
        <item m="1" x="609"/>
        <item m="1" x="492"/>
        <item m="1" x="717"/>
        <item m="1" x="896"/>
        <item m="1" x="362"/>
        <item m="1" x="2090"/>
        <item m="1" x="2099"/>
        <item m="1" x="590"/>
        <item m="1" x="666"/>
        <item m="1" x="1997"/>
        <item m="1" x="2134"/>
        <item m="1" x="1272"/>
        <item m="1" x="867"/>
        <item m="1" x="205"/>
        <item m="1" x="2053"/>
        <item m="1" x="801"/>
        <item m="1" x="1316"/>
        <item m="1" x="215"/>
        <item m="1" x="631"/>
        <item m="1" x="1367"/>
        <item m="1" x="410"/>
        <item m="1" x="393"/>
        <item m="1" x="1608"/>
        <item m="1" x="1257"/>
        <item m="1" x="493"/>
        <item m="1" x="71"/>
        <item m="1" x="284"/>
        <item m="1" x="773"/>
        <item m="1" x="191"/>
        <item m="1" x="917"/>
        <item m="1" x="1124"/>
        <item m="1" x="1711"/>
        <item m="1" x="1026"/>
        <item m="1" x="1018"/>
        <item m="1" x="2075"/>
        <item m="1" x="591"/>
        <item m="1" x="341"/>
        <item m="1" x="1754"/>
        <item m="1" x="1084"/>
        <item m="1" x="5"/>
        <item m="1" x="1876"/>
        <item m="1" x="16"/>
        <item m="1" x="1884"/>
        <item m="1" x="1740"/>
        <item m="1" x="1093"/>
        <item m="1" x="800"/>
        <item m="1" x="1128"/>
        <item m="1" x="1068"/>
        <item m="1" x="2203"/>
        <item m="1" x="1116"/>
        <item m="1" x="740"/>
        <item m="1" x="2054"/>
        <item m="1" x="1063"/>
        <item m="1" x="2198"/>
        <item m="1" x="1837"/>
        <item m="1" x="1953"/>
        <item m="1" x="169"/>
        <item m="1" x="433"/>
        <item m="1" x="758"/>
        <item m="1" x="999"/>
        <item m="1" x="833"/>
        <item m="1" x="459"/>
        <item m="1" x="826"/>
        <item m="1" x="944"/>
        <item m="1" x="2157"/>
        <item m="1" x="310"/>
        <item m="1" x="1776"/>
        <item m="1" x="1239"/>
        <item m="1" x="320"/>
        <item m="1" x="1815"/>
        <item m="1" x="1057"/>
        <item m="1" x="2128"/>
        <item m="1" x="251"/>
        <item m="1" x="300"/>
        <item m="1" x="413"/>
        <item m="1" x="454"/>
        <item m="1" x="1533"/>
        <item m="1" x="2028"/>
        <item m="1" x="151"/>
        <item m="1" x="1158"/>
        <item m="1" x="1720"/>
        <item m="1" x="1164"/>
        <item m="1" x="109"/>
        <item m="1" x="550"/>
        <item m="1" x="1839"/>
        <item m="1" x="1401"/>
        <item m="1" x="2179"/>
        <item m="1" x="272"/>
        <item m="1" x="1942"/>
        <item m="1" x="2147"/>
        <item m="1" x="1299"/>
        <item m="1" x="123"/>
        <item m="1" x="1039"/>
        <item m="1" x="2061"/>
        <item m="1" x="1866"/>
        <item m="1" x="620"/>
        <item m="1" x="1721"/>
        <item m="1" x="1927"/>
        <item m="1" x="325"/>
        <item m="1" x="588"/>
        <item m="1" x="350"/>
        <item m="1" x="2096"/>
        <item m="1" x="1628"/>
        <item m="1" x="884"/>
        <item m="1" x="1987"/>
        <item m="1" x="176"/>
        <item m="1" x="1644"/>
        <item m="1" x="1337"/>
        <item m="1" x="835"/>
        <item m="1" x="1151"/>
        <item m="1" x="2210"/>
        <item m="1" x="263"/>
        <item m="1" x="363"/>
        <item m="1" x="1857"/>
        <item m="1" x="2008"/>
        <item m="1" x="1872"/>
        <item m="1" x="753"/>
        <item m="1" x="121"/>
        <item m="1" x="125"/>
        <item m="1" x="462"/>
        <item m="1" x="1790"/>
        <item m="1" x="1534"/>
        <item m="1" x="2007"/>
        <item m="1" x="651"/>
        <item m="1" x="471"/>
        <item m="1" x="742"/>
        <item m="1" x="306"/>
        <item m="1" x="1346"/>
        <item m="1" x="1228"/>
        <item m="1" x="560"/>
        <item m="1" x="554"/>
        <item m="1" x="1489"/>
        <item m="1" x="538"/>
        <item m="1" x="1766"/>
        <item m="1" x="909"/>
        <item m="1" x="56"/>
        <item m="1" x="270"/>
        <item m="1" x="271"/>
        <item m="1" x="68"/>
        <item m="1" x="1423"/>
        <item m="1" x="695"/>
        <item m="1" x="1485"/>
        <item m="1" x="474"/>
        <item m="1" x="328"/>
        <item m="1" x="1965"/>
        <item m="1" x="388"/>
        <item m="1" x="2148"/>
        <item m="1" x="1235"/>
        <item m="1" x="282"/>
        <item m="1" x="311"/>
        <item m="1" x="217"/>
        <item m="1" x="737"/>
        <item m="1" x="1683"/>
        <item m="1" x="512"/>
        <item m="1" x="2015"/>
        <item m="1" x="326"/>
        <item m="1" x="1406"/>
        <item m="1" x="606"/>
        <item m="1" x="2197"/>
        <item m="1" x="888"/>
        <item m="1" x="1211"/>
        <item m="1" x="700"/>
        <item m="1" x="17"/>
        <item m="1" x="1499"/>
        <item m="1" x="158"/>
        <item m="1" x="1172"/>
        <item m="1" x="162"/>
        <item m="1" x="120"/>
        <item m="1" x="1898"/>
        <item m="1" x="807"/>
        <item m="1" x="2106"/>
        <item m="1" x="796"/>
        <item m="1" x="913"/>
        <item m="1" x="1892"/>
        <item m="1" x="2133"/>
        <item m="1" x="11"/>
        <item m="1" x="2079"/>
        <item m="1" x="118"/>
        <item m="1" x="1110"/>
        <item m="1" x="1251"/>
        <item m="1" x="1658"/>
        <item m="1" x="506"/>
        <item m="1" x="930"/>
        <item m="1" x="1393"/>
        <item m="1" x="1920"/>
        <item m="1" x="1626"/>
        <item m="1" x="2044"/>
        <item m="1" x="400"/>
        <item m="1" x="880"/>
        <item m="1" x="1394"/>
        <item m="1" x="1419"/>
        <item m="1" x="392"/>
        <item m="1" x="2236"/>
        <item m="1" x="346"/>
        <item m="1" x="612"/>
        <item m="1" x="1133"/>
        <item m="1" x="1718"/>
        <item m="1" x="21"/>
        <item m="1" x="1378"/>
        <item m="1" x="1294"/>
        <item m="1" x="2019"/>
        <item m="1" x="1931"/>
        <item m="1" x="1384"/>
        <item m="1" x="616"/>
        <item m="1" x="864"/>
        <item m="1" x="677"/>
        <item m="1" x="1163"/>
        <item m="1" x="2050"/>
        <item m="1" x="893"/>
        <item m="1" x="199"/>
        <item m="1" x="2135"/>
        <item m="1" x="576"/>
        <item m="1" x="583"/>
        <item m="1" x="1330"/>
        <item m="1" x="682"/>
        <item m="1" x="1638"/>
        <item m="1" x="2153"/>
        <item m="1" x="2144"/>
        <item m="1" x="708"/>
        <item m="1" x="1647"/>
        <item m="1" x="900"/>
        <item m="1" x="882"/>
        <item m="1" x="480"/>
        <item m="1" x="813"/>
        <item m="1" x="105"/>
        <item m="1" x="1917"/>
        <item m="1" x="1840"/>
        <item m="1" x="568"/>
        <item m="1" x="264"/>
        <item m="1" x="220"/>
        <item m="1" x="1706"/>
        <item m="1" x="1341"/>
        <item m="1" x="1846"/>
        <item m="1" x="1220"/>
        <item m="1" x="1399"/>
        <item m="1" x="1948"/>
        <item m="1" x="1414"/>
        <item m="1" x="2174"/>
        <item m="1" x="1506"/>
        <item m="1" x="1409"/>
        <item m="1" x="1832"/>
        <item m="1" x="2031"/>
        <item m="1" x="317"/>
        <item m="1" x="1542"/>
        <item m="1" x="285"/>
        <item m="1" x="849"/>
        <item m="1" x="1358"/>
        <item m="1" x="2093"/>
        <item m="1" x="1678"/>
        <item m="1" x="2141"/>
        <item m="1" x="1842"/>
        <item m="1" x="1125"/>
        <item m="1" x="1161"/>
        <item m="1" x="1495"/>
        <item m="1" x="1729"/>
        <item m="1" x="245"/>
        <item m="1" x="1971"/>
        <item m="1" x="1245"/>
        <item m="1" x="1641"/>
        <item m="1" x="1819"/>
        <item m="1" x="2227"/>
        <item m="1" x="1150"/>
        <item m="1" x="1206"/>
        <item m="1" x="1209"/>
        <item m="1" x="1009"/>
        <item m="1" x="1764"/>
        <item m="1" x="1360"/>
        <item m="1" x="767"/>
        <item m="1" x="1069"/>
        <item m="1" x="901"/>
        <item m="1" x="1851"/>
        <item m="1" x="747"/>
        <item m="1" x="1183"/>
        <item m="1" x="1247"/>
        <item m="1" x="1134"/>
        <item m="1" x="485"/>
        <item m="1" x="832"/>
        <item m="1" x="1886"/>
        <item m="1" x="1894"/>
        <item m="1" x="1918"/>
        <item m="1" x="2114"/>
        <item m="1" x="2104"/>
        <item m="1" x="670"/>
        <item m="1" x="875"/>
        <item m="1" x="1430"/>
        <item m="1" x="1339"/>
        <item m="1" x="563"/>
        <item m="1" x="649"/>
        <item m="1" x="2005"/>
        <item m="1" x="712"/>
        <item m="1" x="697"/>
        <item m="1" x="1597"/>
        <item m="1" x="1087"/>
        <item m="1" x="696"/>
        <item m="1" x="1064"/>
        <item m="1" x="996"/>
        <item m="1" x="1540"/>
        <item m="1" x="44"/>
        <item m="1" x="1173"/>
        <item m="1" x="693"/>
        <item m="1" x="788"/>
        <item m="1" x="1511"/>
        <item m="1" x="853"/>
        <item m="1" x="31"/>
        <item m="1" x="2048"/>
        <item m="1" x="2115"/>
        <item m="1" x="1791"/>
        <item m="1" x="2091"/>
        <item m="1" x="1889"/>
        <item m="1" x="2064"/>
        <item m="1" x="1999"/>
        <item m="1" x="1579"/>
        <item m="1" x="79"/>
        <item m="1" x="365"/>
        <item m="1" x="770"/>
        <item m="1" x="1427"/>
        <item m="1" x="2161"/>
        <item m="1" x="548"/>
        <item m="1" x="402"/>
        <item m="1" x="1668"/>
        <item m="1" x="1989"/>
        <item m="1" x="23"/>
        <item m="1" x="1449"/>
        <item m="1" x="2023"/>
        <item m="1" x="1012"/>
        <item m="1" x="834"/>
        <item m="1" x="1545"/>
        <item m="1" x="1736"/>
        <item m="1" x="1845"/>
        <item m="1" x="185"/>
        <item m="1" x="1029"/>
        <item m="1" x="2113"/>
        <item m="1" x="74"/>
        <item m="1" x="2068"/>
        <item m="1" x="210"/>
        <item m="1" x="218"/>
        <item m="1" x="1336"/>
        <item m="1" x="1513"/>
        <item m="1" x="752"/>
        <item m="1" x="1442"/>
        <item m="1" x="1868"/>
        <item m="1" x="2173"/>
        <item m="1" x="1967"/>
        <item m="1" x="1816"/>
        <item m="1" x="2213"/>
        <item m="1" x="673"/>
        <item m="1" x="1088"/>
        <item m="1" x="1722"/>
        <item m="1" x="1782"/>
        <item m="1" x="243"/>
        <item m="1" x="294"/>
        <item m="1" x="127"/>
        <item m="1" x="1461"/>
        <item m="1" x="949"/>
        <item m="1" x="1052"/>
        <item m="1" x="240"/>
        <item m="1" x="521"/>
        <item m="1" x="2232"/>
        <item m="1" x="312"/>
        <item m="1" x="344"/>
        <item m="1" x="1010"/>
        <item m="1" x="237"/>
        <item m="1" x="2034"/>
        <item m="1" x="690"/>
        <item m="1" x="1307"/>
        <item m="1" x="236"/>
        <item m="1" x="1148"/>
        <item m="1" x="898"/>
        <item m="1" x="229"/>
        <item m="1" x="1413"/>
        <item m="1" x="1682"/>
        <item m="1" x="1370"/>
        <item m="1" x="32"/>
        <item m="1" x="757"/>
        <item m="1" x="2181"/>
        <item m="1" x="596"/>
        <item m="1" x="915"/>
        <item m="1" x="1679"/>
        <item m="1" x="156"/>
        <item m="1" x="1344"/>
        <item m="1" x="1623"/>
        <item m="1" x="829"/>
        <item m="1" x="266"/>
        <item m="1" x="527"/>
        <item m="1" x="1095"/>
        <item m="1" x="426"/>
        <item m="1" x="1547"/>
        <item m="1" x="1719"/>
        <item m="1" x="276"/>
        <item m="1" x="463"/>
        <item m="1" x="655"/>
        <item m="1" x="632"/>
        <item m="1" x="2165"/>
        <item m="1" x="2185"/>
        <item m="1" x="704"/>
        <item m="1" x="715"/>
        <item m="1" x="725"/>
        <item m="1" x="854"/>
        <item m="1" x="2051"/>
        <item m="1" x="434"/>
        <item m="1" x="448"/>
        <item m="1" x="1397"/>
        <item m="1" x="351"/>
        <item m="1" x="1624"/>
        <item m="1" x="1258"/>
        <item m="1" x="1602"/>
        <item m="1" x="1129"/>
        <item m="1" x="2038"/>
        <item m="1" x="1524"/>
        <item m="1" x="195"/>
        <item m="1" x="748"/>
        <item m="1" x="1998"/>
        <item m="1" x="88"/>
        <item m="1" x="1126"/>
        <item m="1" x="1065"/>
        <item m="1" x="1452"/>
        <item m="1" x="2126"/>
        <item m="1" x="51"/>
        <item m="1" x="1312"/>
        <item m="1" x="1591"/>
        <item m="1" x="1548"/>
        <item m="1" x="1115"/>
        <item m="1" x="1780"/>
        <item m="1" x="1236"/>
        <item m="1" x="449"/>
        <item m="1" x="1632"/>
        <item m="1" x="1879"/>
        <item m="1" x="1560"/>
        <item m="1" x="1847"/>
        <item m="1" x="1334"/>
        <item m="1" x="60"/>
        <item m="1" x="2206"/>
        <item m="1" x="1972"/>
        <item m="1" x="562"/>
        <item m="1" x="132"/>
        <item m="1" x="803"/>
        <item m="1" x="1676"/>
        <item m="1" x="1705"/>
        <item m="1" x="278"/>
        <item m="1" x="261"/>
        <item m="1" x="903"/>
        <item m="1" x="394"/>
        <item m="1" x="1902"/>
        <item m="1" x="571"/>
        <item m="1" x="647"/>
        <item m="1" x="776"/>
        <item m="1" x="1875"/>
        <item m="1" x="1200"/>
        <item m="1" x="1516"/>
        <item m="1" x="1086"/>
        <item m="1" x="349"/>
        <item m="1" x="336"/>
        <item m="1" x="1266"/>
        <item m="1" x="35"/>
        <item m="1" x="1458"/>
        <item m="1" x="581"/>
        <item m="1" x="27"/>
        <item m="1" x="2065"/>
        <item m="1" x="564"/>
        <item m="1" x="112"/>
        <item m="1" x="1195"/>
        <item m="1" x="1224"/>
        <item m="1" x="1613"/>
        <item m="1" x="733"/>
        <item m="1" x="878"/>
        <item m="1" x="1072"/>
        <item m="1" x="1629"/>
        <item m="1" x="296"/>
        <item m="1" x="441"/>
        <item m="1" x="1117"/>
        <item m="1" x="19"/>
        <item m="1" x="291"/>
        <item m="1" x="1703"/>
        <item m="1" x="1763"/>
        <item m="1" x="2085"/>
        <item m="1" x="1659"/>
        <item m="1" x="1906"/>
        <item m="1" x="2166"/>
        <item m="1" x="1951"/>
        <item m="1" x="1583"/>
        <item m="1" x="254"/>
        <item m="1" x="738"/>
        <item m="1" x="1325"/>
        <item m="1" x="598"/>
        <item m="1" x="1799"/>
        <item m="1" x="197"/>
        <item m="1" x="1231"/>
        <item m="1" x="1725"/>
        <item m="1" x="1420"/>
        <item m="1" x="1882"/>
        <item m="1" x="184"/>
        <item m="1" x="933"/>
        <item m="1" x="2003"/>
        <item m="1" x="106"/>
        <item m="1" x="380"/>
        <item m="1" x="145"/>
        <item m="1" x="154"/>
        <item m="1" x="1549"/>
        <item m="1" x="1824"/>
        <item m="1" x="1908"/>
        <item m="1" x="1600"/>
        <item m="1" x="650"/>
        <item m="1" x="980"/>
        <item m="1" x="1822"/>
        <item m="1" x="961"/>
        <item m="1" x="1984"/>
        <item m="1" x="1521"/>
        <item m="1" x="397"/>
        <item m="1" x="1806"/>
        <item m="1" x="2189"/>
        <item m="1" x="80"/>
        <item m="1" x="92"/>
        <item m="1" x="133"/>
        <item m="1" x="2149"/>
        <item m="1" x="1121"/>
        <item m="1" x="640"/>
        <item m="1" x="1572"/>
        <item m="1" x="1317"/>
        <item m="1" x="1818"/>
        <item m="1" x="2154"/>
        <item m="1" x="1739"/>
        <item m="1" x="604"/>
        <item m="1" x="974"/>
        <item m="1" x="1587"/>
        <item m="1" x="1843"/>
        <item m="1" x="1135"/>
        <item m="1" x="972"/>
        <item m="1" x="361"/>
        <item m="1" x="1978"/>
        <item m="1" x="1686"/>
        <item m="1" x="794"/>
        <item m="1" x="321"/>
        <item m="1" x="593"/>
        <item m="1" x="582"/>
        <item m="1" x="342"/>
        <item m="1" x="1103"/>
        <item m="1" x="50"/>
        <item m="1" x="1537"/>
        <item m="1" x="1685"/>
        <item m="1" x="855"/>
        <item m="1" x="39"/>
        <item m="1" x="73"/>
        <item m="1" x="625"/>
        <item m="1" x="820"/>
        <item m="1" x="1092"/>
        <item m="1" x="1179"/>
        <item m="1" x="456"/>
        <item m="1" x="1599"/>
        <item m="1" x="1650"/>
        <item m="1" x="303"/>
        <item m="1" x="318"/>
        <item m="1" x="2129"/>
        <item m="1" x="1040"/>
        <item m="1" x="531"/>
        <item m="1" x="1743"/>
        <item m="1" x="572"/>
        <item m="1" x="1080"/>
        <item m="1" x="1066"/>
        <item m="1" x="630"/>
        <item m="1" x="1107"/>
        <item m="1" x="975"/>
        <item m="1" x="372"/>
        <item m="1" x="1468"/>
        <item m="1" x="873"/>
        <item m="1" x="1674"/>
        <item m="1" x="101"/>
        <item m="1" x="299"/>
        <item m="1" x="451"/>
        <item m="1" x="1111"/>
        <item m="1" x="1431"/>
        <item m="1" x="1284"/>
        <item m="1" x="1554"/>
        <item m="1" x="119"/>
        <item m="1" x="1677"/>
        <item m="1" x="2026"/>
        <item m="1" x="1594"/>
        <item m="1" x="507"/>
        <item m="1" x="1921"/>
        <item m="1" x="371"/>
        <item m="1" x="226"/>
        <item m="1" x="1030"/>
        <item m="1" x="376"/>
        <item m="1" x="2184"/>
        <item m="1" x="1027"/>
        <item m="1" x="791"/>
        <item m="1" x="1300"/>
        <item m="1" x="2156"/>
        <item m="1" x="2022"/>
        <item m="1" x="2216"/>
        <item m="1" x="688"/>
        <item m="1" x="1550"/>
        <item m="1" x="1332"/>
        <item m="1" x="159"/>
        <item m="1" x="1290"/>
        <item m="1" x="1132"/>
        <item m="1" x="1836"/>
        <item m="1" x="249"/>
        <item m="1" x="818"/>
        <item m="1" x="2094"/>
        <item m="1" x="2195"/>
        <item m="1" x="1090"/>
        <item m="1" x="1004"/>
        <item m="1" x="850"/>
        <item m="1" x="839"/>
        <item m="1" x="1355"/>
        <item m="1" x="1708"/>
        <item m="1" x="637"/>
        <item m="1" x="661"/>
        <item m="1" x="706"/>
        <item m="1" x="179"/>
        <item m="1" x="140"/>
        <item m="1" x="2122"/>
        <item m="1" x="174"/>
        <item m="1" x="946"/>
        <item m="1" x="1369"/>
        <item m="1" x="67"/>
        <item m="1" x="1443"/>
        <item m="1" x="1508"/>
        <item m="1" x="1735"/>
        <item m="1" x="2024"/>
        <item m="1" x="1801"/>
        <item m="1" x="1233"/>
        <item m="1" x="1490"/>
        <item m="1" x="565"/>
        <item m="1" x="618"/>
        <item m="1" x="945"/>
        <item m="1" x="1167"/>
        <item m="1" x="408"/>
        <item m="1" x="692"/>
        <item m="1" x="6"/>
        <item m="1" x="927"/>
        <item m="1" x="1250"/>
        <item m="1" x="1672"/>
        <item m="1" x="686"/>
        <item m="1" x="750"/>
        <item m="1" x="1109"/>
        <item m="1" x="414"/>
        <item m="1" x="2041"/>
        <item m="1" x="1038"/>
        <item m="1" x="2109"/>
        <item m="1" x="1037"/>
        <item m="1" x="55"/>
        <item m="1" x="137"/>
        <item m="1" x="265"/>
        <item m="1" x="1986"/>
        <item m="1" x="332"/>
        <item m="1" x="377"/>
        <item m="1" x="43"/>
        <item m="1" x="537"/>
        <item m="1" x="856"/>
        <item m="1" x="1170"/>
        <item m="1" x="1730"/>
        <item m="1" x="227"/>
        <item m="1" x="420"/>
        <item m="1" x="1104"/>
        <item m="1" x="2020"/>
        <item m="1" x="1059"/>
        <item m="1" x="189"/>
        <item m="1" x="723"/>
        <item m="1" x="1788"/>
        <item m="1" x="1949"/>
        <item m="1" x="1130"/>
        <item m="1" x="384"/>
        <item m="1" x="1578"/>
        <item m="1" x="2058"/>
        <item m="1" x="2146"/>
        <item m="1" x="111"/>
        <item m="1" x="547"/>
        <item m="1" x="1575"/>
        <item m="1" x="1748"/>
        <item m="1" x="977"/>
        <item m="1" x="1536"/>
        <item m="1" x="1752"/>
        <item m="1" x="1159"/>
        <item m="1" x="836"/>
        <item m="1" x="1194"/>
        <item m="1" x="1323"/>
        <item m="1" x="622"/>
        <item m="1" x="1365"/>
        <item m="1" x="1783"/>
        <item m="1" x="552"/>
        <item m="1" x="541"/>
        <item m="1" x="1770"/>
        <item m="1" x="1391"/>
        <item m="1" x="739"/>
        <item m="1" x="452"/>
        <item m="1" x="144"/>
        <item m="1" x="1309"/>
        <item m="1" x="1044"/>
        <item m="1" x="2137"/>
        <item m="1" x="872"/>
        <item m="1" x="1388"/>
        <item m="1" x="1190"/>
        <item m="1" x="1147"/>
        <item m="1" x="81"/>
        <item m="1" x="141"/>
        <item m="1" x="952"/>
        <item m="1" x="1232"/>
        <item m="1" x="543"/>
        <item m="1" x="1891"/>
        <item m="1" x="1850"/>
        <item m="1" x="736"/>
        <item m="1" x="802"/>
        <item m="1" x="1145"/>
        <item m="1" x="142"/>
        <item m="1" x="1649"/>
        <item m="1" x="597"/>
        <item m="1" x="1204"/>
        <item m="1" x="1915"/>
        <item m="1" x="1611"/>
        <item m="1" x="1619"/>
        <item m="1" x="934"/>
        <item m="1" x="613"/>
        <item m="1" x="1177"/>
        <item m="1" x="337"/>
        <item m="1" x="1246"/>
        <item m="1" x="1256"/>
        <item m="1" x="1402"/>
        <item m="1" x="1392"/>
        <item m="1" x="1567"/>
        <item m="1" x="2140"/>
        <item m="1" x="42"/>
        <item m="1" x="1616"/>
        <item m="1" x="1777"/>
        <item m="1" x="2017"/>
        <item m="1" x="1653"/>
        <item m="1" x="255"/>
        <item m="1" x="390"/>
        <item m="1" x="239"/>
        <item m="1" x="749"/>
        <item m="1" x="962"/>
        <item m="1" x="1113"/>
        <item m="1" x="886"/>
        <item m="1" x="1724"/>
        <item m="1" x="533"/>
        <item m="1" x="1241"/>
        <item m="1" x="1627"/>
        <item m="1" x="1642"/>
        <item m="1" x="1775"/>
        <item m="1" x="2132"/>
        <item m="1" x="759"/>
        <item m="1" x="594"/>
        <item m="1" x="1291"/>
        <item m="1" x="1787"/>
        <item m="1" x="2043"/>
        <item m="1" x="208"/>
        <item m="1" x="1207"/>
        <item m="1" x="1259"/>
        <item m="1" x="1622"/>
        <item m="1" x="2071"/>
        <item m="1" x="1436"/>
        <item m="1" x="1635"/>
        <item m="1" x="1861"/>
        <item m="1" x="418"/>
        <item m="1" x="1196"/>
        <item m="1" x="509"/>
        <item m="1" x="1108"/>
        <item m="1" x="1465"/>
        <item m="1" x="1681"/>
        <item m="1" x="382"/>
        <item m="1" x="110"/>
        <item m="1" x="1153"/>
        <item m="1" x="1268"/>
        <item m="1" x="383"/>
        <item m="1" x="1498"/>
        <item m="1" x="1648"/>
        <item m="1" x="52"/>
        <item m="1" x="1853"/>
        <item m="1" x="645"/>
        <item m="1" x="1731"/>
        <item m="1" x="464"/>
        <item m="1" x="1432"/>
        <item m="1" x="2087"/>
        <item m="1" x="663"/>
        <item m="1" x="1569"/>
        <item m="1" x="2240"/>
        <item m="1" x="1077"/>
        <item m="1" x="1149"/>
        <item m="1" x="1214"/>
        <item m="1" x="1191"/>
        <item m="1" x="8"/>
        <item m="1" x="2001"/>
        <item m="1" x="63"/>
        <item m="1" x="477"/>
        <item m="1" x="1601"/>
        <item m="1" x="1131"/>
        <item m="1" x="1983"/>
        <item m="1" x="308"/>
        <item m="1" x="446"/>
        <item m="1" x="496"/>
        <item m="1" x="561"/>
        <item m="1" x="985"/>
        <item m="1" x="1558"/>
        <item m="1" x="1929"/>
        <item m="1" x="1755"/>
        <item m="1" x="482"/>
        <item m="1" x="1957"/>
        <item m="1" x="2117"/>
        <item m="1" x="1571"/>
        <item m="1" x="57"/>
        <item m="1" x="1303"/>
        <item m="1" x="902"/>
        <item m="1" x="1636"/>
        <item m="1" x="1203"/>
        <item m="1" x="2107"/>
        <item m="1" x="2081"/>
        <item m="1" x="994"/>
        <item m="1" x="1603"/>
        <item m="1" x="1990"/>
        <item m="1" x="2078"/>
        <item m="1" x="1993"/>
        <item m="1" x="540"/>
        <item m="1" x="694"/>
        <item m="1" x="960"/>
        <item m="1" x="192"/>
        <item m="1" x="2112"/>
        <item m="1" x="578"/>
        <item m="1" x="1262"/>
        <item m="1" x="1492"/>
        <item m="1" x="539"/>
        <item m="1" x="61"/>
        <item m="1" x="691"/>
        <item m="1" x="1286"/>
        <item m="1" x="1100"/>
        <item m="1" x="1305"/>
        <item m="1" x="1665"/>
        <item m="1" x="1828"/>
        <item m="1" x="289"/>
        <item m="1" x="667"/>
        <item m="1" x="307"/>
        <item m="1" x="1959"/>
        <item m="1" x="1911"/>
        <item m="1" x="1662"/>
        <item m="1" x="87"/>
        <item m="1" x="1421"/>
        <item m="1" x="2069"/>
        <item m="1" x="194"/>
        <item m="1" x="1713"/>
        <item m="1" x="732"/>
        <item m="1" x="273"/>
        <item m="1" x="956"/>
        <item m="1" x="1047"/>
        <item m="1" x="1502"/>
        <item m="1" x="1417"/>
        <item m="1" x="1946"/>
        <item m="1" x="37"/>
        <item m="1" x="378"/>
        <item m="1" x="1410"/>
        <item m="1" x="1936"/>
        <item m="1" x="754"/>
        <item m="1" x="2016"/>
        <item m="1" x="1480"/>
        <item m="1" x="1944"/>
        <item m="1" x="579"/>
        <item m="1" x="627"/>
        <item m="1" x="1273"/>
        <item m="1" x="1981"/>
        <item m="1" x="435"/>
        <item m="1" x="931"/>
        <item m="1" x="478"/>
        <item m="1" x="1398"/>
        <item m="1" x="1726"/>
        <item m="1" x="366"/>
        <item m="1" x="2057"/>
        <item m="1" x="359"/>
        <item m="1" x="1035"/>
        <item m="1" x="1277"/>
        <item m="1" x="2012"/>
        <item m="1" x="467"/>
        <item m="1" x="1395"/>
        <item m="1" x="1439"/>
        <item m="1" x="1939"/>
        <item m="1" x="76"/>
        <item m="1" x="36"/>
        <item m="1" x="1612"/>
        <item m="1" x="1202"/>
        <item m="1" x="1772"/>
        <item m="1" x="3"/>
        <item m="1" x="815"/>
        <item m="1" x="1142"/>
        <item m="1" x="1152"/>
        <item m="1" x="1438"/>
        <item m="1" x="1265"/>
        <item m="1" x="155"/>
        <item m="1" x="730"/>
        <item m="1" x="487"/>
        <item m="1" x="857"/>
        <item m="1" x="421"/>
        <item m="1" x="1020"/>
        <item m="1" x="1459"/>
        <item m="1" x="1717"/>
        <item m="1" x="2175"/>
        <item m="1" x="1019"/>
        <item m="1" x="2004"/>
        <item m="1" x="1463"/>
        <item m="1" x="524"/>
        <item m="1" x="652"/>
        <item m="1" x="516"/>
        <item m="1" x="455"/>
        <item m="1" x="1428"/>
        <item m="1" x="1867"/>
        <item m="1" x="2164"/>
        <item m="1" x="483"/>
        <item m="1" x="1519"/>
        <item m="1" x="2059"/>
        <item m="1" x="1865"/>
        <item m="1" x="304"/>
        <item m="1" x="290"/>
        <item m="1" x="1155"/>
        <item m="1" x="1221"/>
        <item m="1" x="1701"/>
        <item m="1" x="200"/>
        <item m="1" x="1321"/>
        <item m="1" x="1673"/>
        <item m="1" x="107"/>
        <item m="1" x="805"/>
        <item m="1" x="1219"/>
        <item m="1" x="2222"/>
        <item m="1" x="2211"/>
        <item m="1" x="844"/>
        <item m="1" x="907"/>
        <item m="1" x="707"/>
        <item m="1" x="1960"/>
        <item m="1" x="1771"/>
        <item m="1" x="2080"/>
        <item m="1" x="211"/>
        <item m="1" x="222"/>
        <item m="1" x="601"/>
        <item m="1" x="96"/>
        <item m="1" x="1869"/>
        <item m="1" x="9"/>
        <item m="1" x="724"/>
        <item m="1" x="920"/>
        <item m="1" x="685"/>
        <item m="1" x="1476"/>
        <item m="1" x="1359"/>
        <item m="1" x="1580"/>
        <item m="1" x="577"/>
        <item m="1" x="592"/>
        <item m="1" x="615"/>
        <item m="1" x="161"/>
        <item m="1" x="1306"/>
        <item m="1" x="1675"/>
        <item m="1" x="1694"/>
        <item m="1" x="1912"/>
        <item m="1" x="2182"/>
        <item m="1" x="1143"/>
        <item m="1" x="607"/>
        <item m="1" x="751"/>
        <item m="1" x="403"/>
        <item m="1" x="1252"/>
        <item m="1" x="2224"/>
        <item m="1" x="54"/>
        <item m="1" x="322"/>
        <item m="1" x="1248"/>
        <item m="1" x="1175"/>
        <item m="1" x="1637"/>
        <item m="1" x="1595"/>
        <item m="1" x="1671"/>
        <item m="1" x="438"/>
        <item m="1" x="2152"/>
        <item m="1" x="1033"/>
        <item m="1" x="1048"/>
        <item m="1" x="1081"/>
        <item m="1" x="1106"/>
        <item m="1" x="2221"/>
        <item m="1" x="963"/>
        <item m="1" x="396"/>
        <item m="1" x="1238"/>
        <item m="1" x="1353"/>
        <item m="1" x="1481"/>
        <item m="1" x="1514"/>
        <item m="1" x="921"/>
        <item m="1" x="1045"/>
        <item m="1" x="1471"/>
        <item m="1" x="1810"/>
        <item m="1" x="675"/>
        <item m="1" x="1255"/>
        <item m="1" x="1371"/>
        <item m="1" x="671"/>
        <item m="1" x="642"/>
        <item m="1" x="1528"/>
        <item m="1" x="1704"/>
        <item m="1" x="1934"/>
        <item m="1" x="2230"/>
        <item m="1" x="1380"/>
        <item m="1" x="605"/>
        <item m="1" x="1905"/>
        <item m="1" x="1988"/>
        <item m="1" x="2190"/>
        <item m="1" x="445"/>
        <item m="1" x="514"/>
        <item m="1" x="1710"/>
        <item m="1" x="2162"/>
        <item m="1" x="532"/>
        <item m="1" x="86"/>
        <item m="1" x="130"/>
        <item m="1" x="181"/>
        <item m="1" x="925"/>
        <item m="1" x="1070"/>
        <item m="1" x="1368"/>
        <item m="1" x="1556"/>
        <item m="1" x="1584"/>
        <item m="1" x="1728"/>
        <item m="1" x="1522"/>
        <item m="1" x="1899"/>
        <item m="1" x="950"/>
        <item m="1" x="1013"/>
        <item m="1" x="981"/>
        <item m="1" x="2116"/>
        <item m="1" x="490"/>
        <item m="1" x="1437"/>
        <item m="1" x="1445"/>
        <item m="1" x="1585"/>
        <item m="1" x="823"/>
        <item m="1" x="1297"/>
        <item m="1" x="1696"/>
        <item m="1" x="1941"/>
        <item m="1" x="1943"/>
        <item m="1" x="1952"/>
        <item m="1" x="238"/>
        <item m="1" x="484"/>
        <item m="1" x="1160"/>
        <item m="1" x="1139"/>
        <item m="1" x="1961"/>
        <item m="1" x="528"/>
        <item m="1" x="1120"/>
        <item m="1" x="1464"/>
        <item m="1" x="432"/>
        <item m="1" x="1144"/>
        <item m="1" x="1269"/>
        <item m="1" x="475"/>
        <item m="1" x="1067"/>
        <item m="1" x="1517"/>
        <item m="1" x="1523"/>
        <item m="1" x="244"/>
        <item m="1" x="2130"/>
        <item m="1" x="1923"/>
        <item m="1" x="774"/>
        <item m="1" x="701"/>
        <item m="1" x="1607"/>
        <item m="1" x="1433"/>
        <item m="1" x="1446"/>
        <item m="1" x="1890"/>
        <item m="1" x="1969"/>
        <item m="1" x="866"/>
        <item m="1" x="1698"/>
        <item m="1" x="587"/>
        <item m="1" x="1854"/>
        <item m="1" x="104"/>
        <item m="1" x="1215"/>
        <item m="1" x="1561"/>
        <item m="1" x="1747"/>
        <item m="1" x="1049"/>
        <item m="1" x="369"/>
        <item m="1" x="1181"/>
        <item m="1" x="1429"/>
        <item m="1" x="1781"/>
        <item m="1" x="345"/>
        <item m="1" x="166"/>
        <item m="1" x="894"/>
        <item m="1" x="1318"/>
        <item m="1" x="2072"/>
        <item m="1" x="852"/>
        <item m="1" x="2042"/>
        <item m="1" x="545"/>
        <item m="1" x="1709"/>
        <item m="1" x="936"/>
        <item m="1" x="1097"/>
        <item m="1" x="1184"/>
        <item m="1" x="2055"/>
        <item m="1" x="1691"/>
        <item m="1" x="1958"/>
        <item m="1" x="2233"/>
        <item m="1" x="1185"/>
        <item m="1" x="1793"/>
        <item m="1" x="1281"/>
        <item m="1" x="1994"/>
        <item m="1" x="75"/>
        <item m="1" x="398"/>
        <item m="1" x="1122"/>
        <item m="1" x="1242"/>
        <item m="1" x="1656"/>
        <item m="1" x="1811"/>
        <item m="1" x="275"/>
        <item m="1" x="1639"/>
        <item m="1" x="1833"/>
        <item m="1" x="2155"/>
        <item m="1" x="2013"/>
        <item m="1" x="556"/>
        <item m="1" x="1000"/>
        <item m="1" x="1785"/>
        <item m="1" x="1322"/>
        <item m="1" x="14"/>
        <item m="1" x="683"/>
        <item m="1" x="411"/>
        <item m="1" x="165"/>
        <item m="1" x="1924"/>
        <item m="1" x="173"/>
        <item m="1" x="808"/>
        <item m="1" x="858"/>
        <item m="1" x="1690"/>
        <item m="1" x="535"/>
        <item m="1" x="364"/>
        <item m="1" x="746"/>
        <item m="1" x="1932"/>
        <item m="1" x="2207"/>
        <item m="1" x="472"/>
        <item m="1" x="566"/>
        <item m="1" x="498"/>
        <item m="1" x="1697"/>
        <item m="1" x="190"/>
        <item m="1" x="2111"/>
        <item m="1" x="2076"/>
        <item m="1" x="134"/>
        <item m="1" x="689"/>
        <item m="1" x="1982"/>
        <item m="1" x="1017"/>
        <item m="1" x="1424"/>
        <item m="1" x="1342"/>
        <item m="1" x="1863"/>
        <item m="1" x="709"/>
        <item m="1" x="1166"/>
        <item m="1" x="206"/>
        <item m="1" x="148"/>
        <item m="1" x="810"/>
        <item m="1" x="926"/>
        <item m="1" x="1127"/>
        <item m="1" x="230"/>
        <item m="1" x="797"/>
        <item m="1" x="809"/>
        <item m="1" x="422"/>
        <item m="1" x="313"/>
        <item m="1" x="334"/>
        <item m="1" x="2158"/>
        <item m="1" x="1617"/>
        <item m="1" x="786"/>
        <item m="1" x="1350"/>
        <item m="1" x="876"/>
        <item m="1" x="1198"/>
        <item m="1" x="1400"/>
        <item m="1" x="1085"/>
        <item m="1" x="461"/>
        <item m="1" x="1573"/>
        <item m="1" x="947"/>
        <item m="1" x="1535"/>
        <item m="1" x="352"/>
        <item m="1" x="2188"/>
        <item m="1" x="90"/>
        <item m="1" x="458"/>
        <item m="1" x="1862"/>
        <item m="1" x="1186"/>
        <item m="1" x="1340"/>
        <item m="1" x="315"/>
        <item m="1" x="584"/>
        <item m="1" x="1796"/>
        <item m="1" x="923"/>
        <item m="1" x="1633"/>
        <item m="1" x="619"/>
        <item m="1" x="2234"/>
        <item m="1" x="1887"/>
        <item m="1" x="519"/>
        <item m="1" x="848"/>
        <item m="1" x="1105"/>
        <item m="1" x="2000"/>
        <item m="1" x="617"/>
        <item m="1" x="309"/>
        <item m="1" x="2191"/>
        <item m="1" x="1741"/>
        <item m="1" x="847"/>
        <item m="1" x="28"/>
        <item m="1" x="874"/>
        <item m="1" x="2121"/>
        <item m="1" x="58"/>
        <item m="1" x="72"/>
        <item m="1" x="182"/>
        <item m="1" x="113"/>
        <item m="1" x="953"/>
        <item m="1" x="769"/>
        <item m="1" x="1292"/>
        <item m="1" x="1407"/>
        <item m="1" x="1756"/>
        <item m="1" x="843"/>
        <item m="1" x="1614"/>
        <item m="1" x="2097"/>
        <item m="1" x="323"/>
        <item m="1" x="339"/>
        <item m="1" x="2214"/>
        <item m="1" x="916"/>
        <item m="1" x="1738"/>
        <item m="1" x="1883"/>
        <item m="1" x="1620"/>
        <item m="1" x="1852"/>
        <item m="1" x="355"/>
        <item m="1" x="1315"/>
        <item m="1" x="911"/>
        <item m="1" x="2025"/>
        <item m="1" x="2235"/>
        <item m="1" x="85"/>
        <item m="1" x="1922"/>
        <item m="1" x="139"/>
        <item m="1" x="1319"/>
        <item m="1" x="1450"/>
        <item m="1" x="1878"/>
        <item m="1" x="1893"/>
        <item m="1" x="20"/>
        <item m="1" x="793"/>
        <item m="1" x="1028"/>
        <item m="1" x="1914"/>
        <item m="1" x="1767"/>
        <item m="1" x="1278"/>
        <item m="1" x="1287"/>
        <item m="1" x="1180"/>
        <item m="1" x="262"/>
        <item m="1" x="959"/>
        <item m="1" x="713"/>
        <item m="1" x="1197"/>
        <item m="1" x="1913"/>
        <item m="1" x="504"/>
        <item m="1" x="906"/>
        <item m="1" x="575"/>
        <item m="1" x="868"/>
        <item m="1" x="2170"/>
        <item m="1" x="2183"/>
        <item m="1" x="711"/>
        <item m="1" x="1910"/>
        <item m="1" x="1331"/>
        <item m="1" x="1165"/>
        <item m="1" x="790"/>
        <item m="1" x="2215"/>
        <item m="1" x="1075"/>
        <item m="1" x="756"/>
        <item m="1" x="279"/>
        <item m="1" x="1661"/>
        <item m="1" x="1907"/>
        <item m="1" x="2018"/>
        <item m="1" x="428"/>
        <item m="1" x="2136"/>
        <item m="1" x="2205"/>
        <item m="1" x="1563"/>
        <item m="1" x="1298"/>
        <item m="1" x="2063"/>
        <item m="1" x="138"/>
        <item m="1" x="1263"/>
        <item m="1" x="95"/>
        <item m="1" x="219"/>
        <item m="1" x="497"/>
        <item m="1" x="1036"/>
        <item m="1" x="1253"/>
        <item m="1" x="1199"/>
        <item m="1" x="1227"/>
        <item m="1" x="534"/>
        <item m="1" x="610"/>
        <item m="1" x="2056"/>
        <item m="1" x="150"/>
        <item m="1" x="248"/>
        <item m="1" x="1328"/>
        <item m="1" x="1588"/>
        <item m="1" x="1807"/>
        <item m="1" x="1937"/>
        <item m="1" x="404"/>
        <item m="1" x="702"/>
        <item m="1" x="2119"/>
        <item m="1" x="1267"/>
        <item m="1" x="2226"/>
        <item m="1" x="1834"/>
        <item m="1" x="1749"/>
        <item m="1" x="1435"/>
        <item m="1" x="779"/>
        <item m="1" x="115"/>
        <item m="1" x="1293"/>
        <item m="1" x="443"/>
        <item m="1" x="1260"/>
        <item m="1" x="1154"/>
        <item m="1" x="1396"/>
        <item m="1" x="2127"/>
        <item m="1" x="1532"/>
        <item m="1" x="64"/>
        <item m="1" x="381"/>
        <item m="1" x="453"/>
        <item m="1" x="2192"/>
        <item m="1" x="488"/>
        <item m="1" x="515"/>
        <item m="1" x="1016"/>
        <item m="1" x="1422"/>
        <item m="1" x="1977"/>
        <item m="1" x="298"/>
        <item m="1" x="860"/>
        <item m="1" x="1615"/>
        <item m="1" x="253"/>
        <item m="1" x="1386"/>
        <item m="1" x="1938"/>
        <item m="1" x="267"/>
        <item m="1" x="814"/>
        <item m="1" x="98"/>
        <item m="1" x="1596"/>
        <item m="1" x="1354"/>
        <item m="1" x="216"/>
        <item m="1" x="83"/>
        <item m="1" x="228"/>
        <item m="1" x="1897"/>
        <item m="1" x="781"/>
        <item m="1" x="1311"/>
        <item m="1" x="1859"/>
        <item m="1" x="193"/>
        <item m="1" x="745"/>
        <item m="1" x="1282"/>
        <item m="1" x="1829"/>
        <item m="1" x="171"/>
        <item m="1" x="703"/>
        <item m="1" x="966"/>
        <item m="1" x="1244"/>
        <item m="1" x="1507"/>
        <item m="1" x="10"/>
        <item m="1" x="1789"/>
        <item m="1" x="135"/>
        <item m="1" x="389"/>
        <item m="1" x="658"/>
        <item m="1" x="939"/>
        <item m="1" x="1212"/>
        <item m="1" x="1469"/>
        <item m="1" x="1744"/>
        <item m="1" x="2033"/>
        <item m="1" x="91"/>
        <item m="1" x="2067"/>
        <item m="1" x="1441"/>
        <item m="1" x="1715"/>
        <item m="1" x="47"/>
        <item m="1" x="586"/>
        <item m="1" x="324"/>
        <item m="1" x="1992"/>
        <item m="1" x="870"/>
        <item m="1" x="1138"/>
        <item m="1" x="2209"/>
        <item m="1" x="1680"/>
        <item m="1" x="1955"/>
        <item m="1" x="225"/>
        <item m="1" x="2172"/>
        <item m="1" x="1094"/>
        <item m="1" x="2010"/>
        <item m="1" x="1786"/>
        <item m="1" x="1712"/>
        <item m="1" x="1559"/>
        <item m="1" x="1526"/>
        <item m="1" x="1453"/>
        <item m="1" x="1418"/>
        <item m="1" x="1385"/>
        <item m="1" x="1352"/>
        <item m="1" x="1310"/>
        <item m="1" x="1280"/>
        <item m="1" x="168"/>
        <item m="1" x="1240"/>
        <item m="1" x="131"/>
        <item m="1" x="2089"/>
        <item m="1" x="1210"/>
        <item m="1" x="89"/>
        <item m="1" x="1176"/>
        <item m="1" x="45"/>
        <item m="1" x="1137"/>
        <item m="1" x="12"/>
        <item m="1" x="1096"/>
        <item m="1" x="2208"/>
        <item m="1" x="1060"/>
        <item m="1" x="1474"/>
        <item m="1" x="2176"/>
        <item m="1" x="2105"/>
        <item m="1" x="1574"/>
        <item m="1" x="989"/>
        <item m="1" x="1527"/>
        <item m="1" x="2100"/>
        <item m="1" x="954"/>
        <item m="1" x="405"/>
        <item m="1" x="2138"/>
        <item m="1" x="1488"/>
        <item m="1" x="2060"/>
        <item m="1" x="374"/>
        <item m="1" x="1646"/>
        <item m="1" x="928"/>
        <item m="1" x="1454"/>
        <item m="1" x="2011"/>
        <item m="1" x="338"/>
        <item m="1" x="885"/>
        <item m="1" x="1885"/>
        <item m="1" x="1945"/>
        <item m="1" x="979"/>
        <item m="1" x="1963"/>
        <item m="1" x="1956"/>
        <item m="1" x="2083"/>
        <item m="1" x="2095"/>
        <item m="1" x="883"/>
        <item m="1" x="656"/>
        <item m="1" x="24"/>
        <item m="1" x="1351"/>
        <item m="1" x="358"/>
        <item m="1" x="1606"/>
        <item m="1" x="457"/>
        <item m="1" x="1076"/>
        <item m="1" x="729"/>
        <item m="1" x="624"/>
        <item m="1" x="904"/>
        <item m="1" x="1178"/>
        <item m="1" x="1073"/>
        <item m="1" x="1660"/>
        <item m="1" x="1023"/>
        <item m="1" x="1327"/>
        <item m="1" x="662"/>
        <item m="1" x="1996"/>
        <item m="1" x="33"/>
        <item m="1" x="177"/>
        <item m="1" x="1361"/>
        <item m="1" x="580"/>
        <item m="1" x="1598"/>
        <item m="1" x="1405"/>
        <item m="1" x="13"/>
        <item m="1" x="280"/>
        <item m="1" x="553"/>
        <item m="1" x="97"/>
        <item m="1" x="841"/>
        <item m="1" x="1098"/>
        <item m="1" x="1372"/>
        <item m="1" x="1645"/>
        <item m="1" x="2143"/>
        <item m="1" x="1926"/>
        <item m="1" x="2212"/>
        <item m="1" x="247"/>
        <item m="1" x="523"/>
        <item m="1" x="799"/>
        <item m="1" x="983"/>
        <item m="1" x="1061"/>
        <item m="1" x="1979"/>
        <item m="1" x="2169"/>
        <item m="1" x="1604"/>
        <item m="1" x="1881"/>
        <item m="1" x="1225"/>
        <item m="1" x="2177"/>
        <item m="1" x="1496"/>
        <item m="1" x="146"/>
        <item m="1" x="212"/>
        <item m="1" x="486"/>
        <item m="1" x="764"/>
        <item m="1" x="1032"/>
        <item m="1" x="1296"/>
        <item m="1" x="1565"/>
        <item m="1" x="1848"/>
        <item m="1" x="2139"/>
        <item m="1" x="178"/>
        <item m="1" x="762"/>
        <item m="1" x="450"/>
        <item m="1" x="821"/>
        <item m="1" x="991"/>
        <item m="1" x="1264"/>
        <item m="1" x="1529"/>
        <item m="1" x="1809"/>
        <item m="1" x="2102"/>
        <item m="1" x="152"/>
        <item m="1" x="354"/>
        <item m="1" x="407"/>
        <item m="1" x="1689"/>
        <item m="1" x="544"/>
        <item m="1" x="676"/>
        <item m="1" x="830"/>
        <item m="1" x="955"/>
        <item m="1" x="1089"/>
        <item m="1" x="1229"/>
        <item m="1" x="1364"/>
        <item m="1" x="1643"/>
        <item m="1" x="1491"/>
        <item m="1" x="1634"/>
        <item m="1" x="1768"/>
        <item m="1" x="1813"/>
        <item m="1" x="335"/>
        <item m="1" x="1909"/>
        <item m="1" x="2062"/>
        <item m="1" x="2202"/>
        <item m="1" x="114"/>
        <item m="1" x="330"/>
        <item m="1" x="242"/>
        <item m="1" x="375"/>
        <item m="1" x="508"/>
        <item m="1" x="639"/>
        <item m="1" x="789"/>
        <item m="1" x="929"/>
        <item m="1" x="1054"/>
        <item m="1" x="629"/>
        <item m="1" x="1539"/>
        <item m="1" x="319"/>
        <item m="1" x="1320"/>
        <item m="1" x="1455"/>
        <item m="1" x="1593"/>
        <item m="1" x="65"/>
        <item m="1" x="1734"/>
        <item m="1" x="1873"/>
        <item m="1" x="806"/>
        <item m="1" x="2014"/>
        <item m="1" x="2167"/>
        <item m="1" x="70"/>
        <item m="1" x="202"/>
        <item m="1" x="964"/>
        <item m="1" x="897"/>
        <item m="1" x="2021"/>
        <item m="1" x="340"/>
        <item m="1" x="1903"/>
        <item m="1" x="479"/>
        <item m="1" x="608"/>
        <item m="1" x="755"/>
        <item m="1" x="1021"/>
        <item m="1" x="1201"/>
        <item m="1" x="1157"/>
        <item m="1" x="1288"/>
        <item m="1" x="1425"/>
        <item m="1" x="1553"/>
        <item m="1" x="2217"/>
        <item m="1" x="1702"/>
        <item m="1" x="1838"/>
        <item m="1" x="1237"/>
        <item m="1" x="1980"/>
        <item m="1" x="2131"/>
        <item m="1" x="175"/>
        <item m="1" x="30"/>
        <item m="1" x="302"/>
        <item m="1" x="437"/>
        <item m="1" x="1329"/>
        <item m="1" x="573"/>
        <item m="1" x="716"/>
        <item m="1" x="863"/>
        <item m="1" x="978"/>
        <item m="1" x="1119"/>
        <item m="1" x="1254"/>
        <item m="1" x="117"/>
        <item m="1" x="1387"/>
        <item m="1" x="1520"/>
        <item m="1" x="1664"/>
        <item m="1" x="1802"/>
        <item m="1" x="1456"/>
        <item m="1" x="1389"/>
        <item m="1" x="1940"/>
        <item m="1" x="2092"/>
        <item m="1" x="2237"/>
        <item m="1" x="143"/>
        <item m="1" x="269"/>
        <item m="1" x="395"/>
        <item m="1" x="536"/>
        <item m="1" x="669"/>
        <item m="1" x="817"/>
        <item m="1" x="948"/>
        <item m="1" x="1082"/>
        <item m="1" x="1218"/>
        <item m="1" x="1618"/>
        <item m="1" x="1758"/>
        <item m="1" x="1901"/>
        <item m="1" x="2047"/>
        <item m="1" x="2194"/>
        <item m="1" x="103"/>
        <item m="1" x="232"/>
        <item m="1" x="368"/>
        <item m="1" x="502"/>
        <item m="1" x="635"/>
        <item m="1" x="782"/>
        <item m="1" x="919"/>
        <item m="1" x="530"/>
        <item m="1" x="1046"/>
        <item m="1" x="1189"/>
        <item m="1" x="1314"/>
        <item m="1" x="412"/>
        <item m="1" x="1448"/>
        <item m="1" x="1586"/>
        <item m="1" x="1727"/>
        <item m="1" x="2006"/>
        <item m="1" x="2159"/>
        <item m="1" x="1551"/>
        <item m="1" x="1621"/>
        <item m="1" x="473"/>
        <item m="1" x="331"/>
        <item m="1" x="599"/>
        <item m="1" x="881"/>
        <item m="1" x="1011"/>
        <item m="1" x="1146"/>
        <item m="1" x="623"/>
        <item m="1" x="1283"/>
        <item m="1" x="1412"/>
        <item m="1" x="1546"/>
        <item m="1" x="1693"/>
        <item m="1" x="1830"/>
        <item m="1" x="1968"/>
        <item m="1" x="2124"/>
        <item m="1" x="26"/>
        <item m="1" x="172"/>
        <item m="1" x="288"/>
        <item m="1" x="427"/>
        <item m="1" x="559"/>
        <item m="1" x="705"/>
        <item m="1" x="501"/>
        <item m="1" x="570"/>
        <item m="1" x="851"/>
        <item m="1" x="1761"/>
        <item m="1" x="970"/>
        <item m="1" x="1379"/>
        <item m="1" x="1510"/>
        <item m="1" x="1655"/>
        <item m="1" x="1792"/>
        <item m="1" x="1933"/>
        <item m="1" x="2084"/>
        <item m="1" x="1973"/>
        <item m="1" x="2225"/>
        <item m="1" x="136"/>
        <item m="1" x="258"/>
        <item m="1" x="327"/>
        <item m="1" x="188"/>
        <item m="1" x="1363"/>
        <item m="1" x="470"/>
        <item m="1" x="391"/>
        <item m="1" x="1390"/>
        <item m="1" x="1457"/>
        <item m="1" x="529"/>
        <item m="1" x="811"/>
        <item m="1" x="595"/>
        <item m="1" x="659"/>
        <item m="1" x="744"/>
        <item m="1" x="877"/>
        <item m="1" x="941"/>
        <item m="1" x="1008"/>
        <item m="1" x="1074"/>
        <item m="1" x="1141"/>
        <item m="1" x="1213"/>
        <item m="1" x="1276"/>
        <item m="1" x="1338"/>
        <item m="1" x="1411"/>
        <item m="1" x="1470"/>
        <item m="1" x="1543"/>
        <item m="1" x="1609"/>
        <item m="1" x="1688"/>
        <item m="1" x="1746"/>
        <item m="1" x="1827"/>
        <item m="1" x="1888"/>
        <item m="1" x="1964"/>
        <item m="1" x="2035"/>
        <item m="1" x="2118"/>
        <item m="1" x="2186"/>
        <item m="1" x="22"/>
        <item m="1" x="94"/>
        <item m="1" x="164"/>
        <item m="1" x="223"/>
        <item m="1" x="517"/>
        <item m="1" x="654"/>
        <item m="1" x="283"/>
        <item m="1" x="1357"/>
        <item m="1" x="1484"/>
        <item m="1" x="1285"/>
        <item m="1" x="1216"/>
        <item m="1" x="1928"/>
        <item m="1" x="1769"/>
        <item m="1" x="360"/>
        <item m="1" x="424"/>
        <item m="1" x="495"/>
        <item m="1" x="557"/>
        <item m="1" x="626"/>
        <item m="1" x="1762"/>
        <item m="1" x="698"/>
        <item m="1" x="775"/>
        <item m="1" x="7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m="1" x="2"/>
        <item m="1" x="3"/>
        <item m="1" x="1"/>
        <item m="1" x="4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20">
        <item m="1" x="186"/>
        <item m="1" x="176"/>
        <item m="1" x="118"/>
        <item m="1" x="281"/>
        <item m="1" x="299"/>
        <item m="1" x="720"/>
        <item m="1" x="443"/>
        <item m="1" x="522"/>
        <item m="1" x="749"/>
        <item m="1" x="709"/>
        <item m="1" x="635"/>
        <item m="1" x="370"/>
        <item m="1" x="528"/>
        <item m="1" x="402"/>
        <item m="1" x="41"/>
        <item m="1" x="508"/>
        <item m="1" x="618"/>
        <item m="1" x="144"/>
        <item m="1" x="42"/>
        <item m="1" x="269"/>
        <item m="1" x="622"/>
        <item m="1" x="420"/>
        <item m="1" x="543"/>
        <item m="1" x="205"/>
        <item m="1" x="814"/>
        <item m="1" x="135"/>
        <item m="1" x="194"/>
        <item m="1" x="305"/>
        <item m="1" x="228"/>
        <item m="1" x="113"/>
        <item m="1" x="492"/>
        <item m="1" x="183"/>
        <item m="1" x="641"/>
        <item m="1" x="729"/>
        <item m="1" x="92"/>
        <item m="1" x="339"/>
        <item m="1" x="440"/>
        <item m="1" x="105"/>
        <item m="1" x="239"/>
        <item m="1" x="773"/>
        <item m="1" x="819"/>
        <item m="1" x="328"/>
        <item m="1" x="512"/>
        <item m="1" x="496"/>
        <item m="1" x="588"/>
        <item m="1" x="373"/>
        <item m="1" x="261"/>
        <item m="1" x="131"/>
        <item m="1" x="72"/>
        <item m="1" x="132"/>
        <item m="1" x="219"/>
        <item m="1" x="128"/>
        <item m="1" x="91"/>
        <item m="1" x="40"/>
        <item m="1" x="469"/>
        <item m="1" x="389"/>
        <item m="1" x="177"/>
        <item m="1" x="121"/>
        <item m="1" x="427"/>
        <item m="1" x="73"/>
        <item m="1" x="409"/>
        <item m="1" x="652"/>
        <item m="1" x="495"/>
        <item m="1" x="682"/>
        <item m="1" x="567"/>
        <item m="1" x="718"/>
        <item m="1" x="399"/>
        <item m="1" x="268"/>
        <item m="1" x="394"/>
        <item m="1" x="788"/>
        <item m="1" x="488"/>
        <item m="1" x="451"/>
        <item m="1" x="195"/>
        <item m="1" x="640"/>
        <item m="1" x="607"/>
        <item m="1" x="690"/>
        <item m="1" x="374"/>
        <item m="1" x="250"/>
        <item m="1" x="688"/>
        <item m="1" x="308"/>
        <item m="1" x="546"/>
        <item m="1" x="793"/>
        <item m="1" x="361"/>
        <item m="1" x="276"/>
        <item m="1" x="407"/>
        <item m="1" x="375"/>
        <item m="1" x="539"/>
        <item m="1" x="277"/>
        <item m="1" x="143"/>
        <item m="1" x="421"/>
        <item m="1" x="158"/>
        <item m="1" x="676"/>
        <item m="1" x="198"/>
        <item m="1" x="256"/>
        <item m="1" x="674"/>
        <item m="1" x="221"/>
        <item m="1" x="378"/>
        <item m="1" x="117"/>
        <item m="1" x="286"/>
        <item m="1" x="324"/>
        <item m="1" x="354"/>
        <item m="1" x="441"/>
        <item m="1" x="744"/>
        <item m="1" x="794"/>
        <item m="1" x="818"/>
        <item m="1" x="17"/>
        <item m="1" x="314"/>
        <item m="1" x="571"/>
        <item m="1" x="166"/>
        <item m="1" x="775"/>
        <item m="1" x="51"/>
        <item m="1" x="782"/>
        <item m="1" x="104"/>
        <item m="1" x="698"/>
        <item m="1" x="89"/>
        <item m="1" x="459"/>
        <item m="1" x="157"/>
        <item m="1" x="346"/>
        <item m="1" x="362"/>
        <item m="1" x="279"/>
        <item m="1" x="387"/>
        <item m="1" x="741"/>
        <item m="1" x="343"/>
        <item m="1" x="50"/>
        <item m="1" x="231"/>
        <item m="1" x="26"/>
        <item m="1" x="425"/>
        <item m="1" x="576"/>
        <item m="1" x="810"/>
        <item m="1" x="159"/>
        <item m="1" x="687"/>
        <item m="1" x="509"/>
        <item m="1" x="172"/>
        <item m="1" x="612"/>
        <item m="1" x="54"/>
        <item m="1" x="783"/>
        <item m="1" x="464"/>
        <item m="1" x="310"/>
        <item m="1" x="669"/>
        <item m="1" x="284"/>
        <item m="1" x="412"/>
        <item m="1" x="38"/>
        <item m="1" x="615"/>
        <item m="1" x="444"/>
        <item m="1" x="671"/>
        <item m="1" x="454"/>
        <item m="1" x="780"/>
        <item m="1" x="393"/>
        <item m="1" x="304"/>
        <item m="1" x="418"/>
        <item m="1" x="224"/>
        <item m="1" x="694"/>
        <item m="1" x="278"/>
        <item m="1" x="321"/>
        <item m="1" x="587"/>
        <item m="1" x="272"/>
        <item m="1" x="476"/>
        <item m="1" x="511"/>
        <item m="1" x="271"/>
        <item m="1" x="532"/>
        <item m="1" x="264"/>
        <item m="1" x="115"/>
        <item m="1" x="703"/>
        <item m="1" x="140"/>
        <item m="1" x="156"/>
        <item m="1" x="565"/>
        <item m="1" x="352"/>
        <item m="1" x="203"/>
        <item m="1" x="376"/>
        <item m="1" x="252"/>
        <item m="1" x="341"/>
        <item m="1" x="257"/>
        <item m="1" x="245"/>
        <item m="1" x="500"/>
        <item m="1" x="553"/>
        <item m="1" x="730"/>
        <item m="1" x="333"/>
        <item m="1" x="154"/>
        <item m="1" x="240"/>
        <item m="1" x="447"/>
        <item m="1" x="93"/>
        <item m="1" x="382"/>
        <item m="1" x="626"/>
        <item m="1" x="547"/>
        <item m="1" x="21"/>
        <item m="1" x="680"/>
        <item m="1" x="296"/>
        <item m="1" x="501"/>
        <item m="1" x="62"/>
        <item m="1" x="297"/>
        <item m="1" x="697"/>
        <item m="1" x="235"/>
        <item m="1" x="422"/>
        <item m="1" x="629"/>
        <item m="1" x="307"/>
        <item m="1" x="503"/>
        <item m="1" x="414"/>
        <item m="1" x="772"/>
        <item m="1" x="65"/>
        <item m="1" x="234"/>
        <item m="1" x="329"/>
        <item m="1" x="472"/>
        <item m="1" x="541"/>
        <item m="1" x="678"/>
        <item m="1" x="724"/>
        <item m="1" x="705"/>
        <item m="1" x="292"/>
        <item m="1" x="406"/>
        <item m="1" x="636"/>
        <item m="1" x="667"/>
        <item m="1" x="340"/>
        <item m="1" x="751"/>
        <item m="1" x="524"/>
        <item m="1" x="397"/>
        <item m="1" x="419"/>
        <item m="1" x="342"/>
        <item m="1" x="647"/>
        <item m="1" x="31"/>
        <item m="1" x="467"/>
        <item m="1" x="322"/>
        <item m="1" x="727"/>
        <item m="1" x="169"/>
        <item m="1" x="605"/>
        <item m="1" x="544"/>
        <item m="1" x="395"/>
        <item m="1" x="708"/>
        <item m="1" x="815"/>
        <item m="1" x="696"/>
        <item m="1" x="351"/>
        <item m="1" x="707"/>
        <item m="1" x="728"/>
        <item m="1" x="535"/>
        <item m="1" x="148"/>
        <item m="1" x="223"/>
        <item m="1" x="332"/>
        <item m="1" x="489"/>
        <item m="1" x="594"/>
        <item m="1" x="577"/>
        <item m="1" x="695"/>
        <item m="1" x="681"/>
        <item m="1" x="1"/>
        <item m="1" x="755"/>
        <item m="1" x="760"/>
        <item m="1" x="247"/>
        <item m="1" x="100"/>
        <item m="1" x="266"/>
        <item m="1" x="403"/>
        <item m="1" x="201"/>
        <item m="1" x="237"/>
        <item m="1" x="160"/>
        <item m="1" x="210"/>
        <item m="1" x="338"/>
        <item m="1" x="174"/>
        <item m="1" x="559"/>
        <item m="1" x="683"/>
        <item m="1" x="208"/>
        <item m="1" x="230"/>
        <item m="1" x="330"/>
        <item m="1" x="645"/>
        <item m="1" x="437"/>
        <item m="1" x="146"/>
        <item m="1" x="60"/>
        <item m="1" x="685"/>
        <item m="1" x="679"/>
        <item m="1" x="410"/>
        <item m="1" x="473"/>
        <item m="1" x="270"/>
        <item m="1" x="325"/>
        <item m="1" x="771"/>
        <item m="1" x="11"/>
        <item m="1" x="766"/>
        <item m="1" x="497"/>
        <item m="1" x="415"/>
        <item m="1" x="173"/>
        <item m="1" x="30"/>
        <item m="1" x="161"/>
        <item m="1" x="417"/>
        <item m="1" x="470"/>
        <item m="1" x="798"/>
        <item m="1" x="35"/>
        <item m="1" x="400"/>
        <item m="1" x="716"/>
        <item m="1" x="162"/>
        <item m="1" x="566"/>
        <item m="1" x="817"/>
        <item m="1" x="759"/>
        <item m="1" x="561"/>
        <item m="1" x="527"/>
        <item m="1" x="634"/>
        <item m="1" x="732"/>
        <item m="1" x="47"/>
        <item m="1" x="735"/>
        <item m="1" x="506"/>
        <item m="1" x="142"/>
        <item m="1" x="337"/>
        <item m="1" x="802"/>
        <item m="1" x="803"/>
        <item m="1" x="262"/>
        <item m="1" x="734"/>
        <item m="1" x="59"/>
        <item m="1" x="217"/>
        <item m="1" x="670"/>
        <item m="1" x="505"/>
        <item m="1" x="548"/>
        <item m="1" x="806"/>
        <item m="1" x="6"/>
        <item m="1" x="377"/>
        <item m="1" x="617"/>
        <item m="1" x="432"/>
        <item m="1" x="335"/>
        <item m="1" x="114"/>
        <item m="1" x="514"/>
        <item m="1" x="768"/>
        <item m="1" x="563"/>
        <item m="1" x="481"/>
        <item m="1" x="396"/>
        <item m="1" x="165"/>
        <item m="1" x="368"/>
        <item m="1" x="812"/>
        <item m="1" x="153"/>
        <item m="1" x="182"/>
        <item m="1" x="49"/>
        <item m="1" x="331"/>
        <item m="1" x="290"/>
        <item m="1" x="774"/>
        <item m="1" x="155"/>
        <item m="1" x="792"/>
        <item m="1" x="3"/>
        <item m="1" x="126"/>
        <item m="1" x="90"/>
        <item m="1" x="598"/>
        <item m="1" x="769"/>
        <item m="1" x="316"/>
        <item m="1" x="429"/>
        <item m="1" x="625"/>
        <item m="1" x="573"/>
        <item m="1" x="392"/>
        <item m="1" x="285"/>
        <item m="1" x="799"/>
        <item m="1" x="136"/>
        <item m="1" x="366"/>
        <item m="1" x="613"/>
        <item m="1" x="663"/>
        <item m="1" x="461"/>
        <item m="1" x="37"/>
        <item m="1" x="737"/>
        <item m="1" x="122"/>
        <item m="1" x="184"/>
        <item m="1" x="531"/>
        <item m="1" x="28"/>
        <item m="1" x="79"/>
        <item m="1" x="731"/>
        <item m="1" x="251"/>
        <item m="1" x="659"/>
        <item m="1" x="152"/>
        <item m="1" x="710"/>
        <item m="1" x="433"/>
        <item m="1" x="770"/>
        <item m="1" x="590"/>
        <item m="1" x="171"/>
        <item m="1" x="706"/>
        <item m="1" x="232"/>
        <item m="1" x="282"/>
        <item m="1" x="750"/>
        <item m="1" x="294"/>
        <item m="1" x="655"/>
        <item m="1" x="275"/>
        <item m="1" x="649"/>
        <item m="1" x="15"/>
        <item m="1" x="39"/>
        <item m="1" x="719"/>
        <item m="1" x="446"/>
        <item m="1" x="25"/>
        <item m="1" x="557"/>
        <item m="1" x="298"/>
        <item m="1" x="733"/>
        <item m="1" x="490"/>
        <item m="1" x="267"/>
        <item m="1" x="675"/>
        <item m="1" x="263"/>
        <item m="1" x="178"/>
        <item m="1" x="477"/>
        <item m="1" x="701"/>
        <item m="1" x="334"/>
        <item m="1" x="657"/>
        <item m="1" x="301"/>
        <item m="1" x="129"/>
        <item m="1" x="808"/>
        <item m="1" x="465"/>
        <item m="1" x="98"/>
        <item m="1" x="202"/>
        <item m="1" x="742"/>
        <item m="1" x="19"/>
        <item m="1" x="110"/>
        <item m="1" x="61"/>
        <item m="1" x="568"/>
        <item m="1" x="712"/>
        <item m="1" x="36"/>
        <item m="1" x="196"/>
        <item m="1" x="273"/>
        <item m="1" x="191"/>
        <item m="1" x="549"/>
        <item m="1" x="147"/>
        <item m="1" x="513"/>
        <item m="1" x="22"/>
        <item m="1" x="502"/>
        <item m="1" x="138"/>
        <item m="1" x="758"/>
        <item m="1" x="602"/>
        <item m="1" x="288"/>
        <item m="1" x="150"/>
        <item m="1" x="809"/>
        <item m="1" x="596"/>
        <item m="1" x="475"/>
        <item m="1" x="572"/>
        <item m="1" x="363"/>
        <item m="1" x="554"/>
        <item m="1" x="408"/>
        <item m="1" x="14"/>
        <item m="1" x="581"/>
        <item m="1" x="787"/>
        <item m="1" x="283"/>
        <item m="1" x="309"/>
        <item m="1" x="413"/>
        <item m="1" x="725"/>
        <item m="1" x="518"/>
        <item m="1" x="360"/>
        <item m="1" x="255"/>
        <item m="1" x="784"/>
        <item m="1" x="242"/>
        <item m="1" x="214"/>
        <item m="1" x="791"/>
        <item m="1" x="111"/>
        <item m="1" x="206"/>
        <item m="1" x="190"/>
        <item m="1" x="589"/>
        <item m="1" x="660"/>
        <item m="1" x="453"/>
        <item m="1" x="211"/>
        <item m="1" x="494"/>
        <item m="1" x="721"/>
        <item m="1" x="356"/>
        <item m="1" x="691"/>
        <item m="1" x="533"/>
        <item m="1" x="326"/>
        <item m="1" x="32"/>
        <item m="1" x="555"/>
        <item m="1" x="438"/>
        <item m="1" x="638"/>
        <item m="1" x="677"/>
        <item m="1" x="699"/>
        <item m="1" x="764"/>
        <item m="1" x="519"/>
        <item m="1" x="18"/>
        <item m="1" x="491"/>
        <item m="1" x="713"/>
        <item m="1" x="816"/>
        <item m="1" x="260"/>
        <item m="1" x="431"/>
        <item m="1" x="101"/>
        <item m="1" x="220"/>
        <item m="1" x="85"/>
        <item m="1" x="478"/>
        <item m="1" x="87"/>
        <item m="1" x="204"/>
        <item m="1" x="702"/>
        <item m="1" x="78"/>
        <item m="1" x="668"/>
        <item m="1" x="293"/>
        <item m="1" x="487"/>
        <item m="1" x="106"/>
        <item m="1" x="800"/>
        <item m="1" x="656"/>
        <item m="1" x="726"/>
        <item m="1" x="530"/>
        <item m="1" x="416"/>
        <item m="1" x="781"/>
        <item m="1" x="95"/>
        <item m="1" x="642"/>
        <item m="1" x="482"/>
        <item m="1" x="603"/>
        <item m="1" x="468"/>
        <item m="1" x="16"/>
        <item m="1" x="740"/>
        <item m="1" x="583"/>
        <item m="1" x="804"/>
        <item m="1" x="604"/>
        <item m="1" x="621"/>
        <item m="1" x="789"/>
        <item m="1" x="236"/>
        <item m="1" x="23"/>
        <item m="1" x="483"/>
        <item m="1" x="265"/>
        <item m="1" x="383"/>
        <item m="1" x="693"/>
        <item m="1" x="149"/>
        <item m="1" x="46"/>
        <item m="1" x="777"/>
        <item m="1" x="371"/>
        <item m="1" x="434"/>
        <item m="1" x="390"/>
        <item m="1" x="10"/>
        <item m="1" x="450"/>
        <item m="1" x="83"/>
        <item m="1" x="295"/>
        <item m="1" x="103"/>
        <item m="1" x="347"/>
        <item m="1" x="137"/>
        <item m="1" x="259"/>
        <item m="1" x="55"/>
        <item m="1" x="125"/>
        <item m="1" x="53"/>
        <item m="1" x="449"/>
        <item m="1" x="672"/>
        <item m="1" x="435"/>
        <item m="1" x="462"/>
        <item m="1" x="280"/>
        <item m="1" x="9"/>
        <item m="1" x="66"/>
        <item m="1" x="86"/>
        <item m="1" x="68"/>
        <item m="1" x="233"/>
        <item m="1" x="684"/>
        <item m="1" x="801"/>
        <item m="1" x="767"/>
        <item m="1" x="745"/>
        <item m="1" x="213"/>
        <item m="1" x="207"/>
        <item m="1" x="353"/>
        <item m="1" x="796"/>
        <item m="1" x="317"/>
        <item m="1" x="81"/>
        <item m="1" x="627"/>
        <item m="1" x="752"/>
        <item m="1" x="756"/>
        <item m="1" x="673"/>
        <item m="1" x="151"/>
        <item m="1" x="411"/>
        <item m="1" x="193"/>
        <item m="1" x="654"/>
        <item m="1" x="797"/>
        <item m="1" x="507"/>
        <item m="1" x="27"/>
        <item m="1" x="715"/>
        <item m="1" x="358"/>
        <item m="1" x="542"/>
        <item m="1" x="133"/>
        <item m="1" x="614"/>
        <item m="1" x="218"/>
        <item m="1" x="762"/>
        <item m="1" x="452"/>
        <item m="1" x="538"/>
        <item m="1" x="560"/>
        <item m="1" x="4"/>
        <item m="1" x="391"/>
        <item m="1" x="405"/>
        <item m="1" x="107"/>
        <item m="1" x="215"/>
        <item m="1" x="651"/>
        <item m="1" x="229"/>
        <item m="1" x="595"/>
        <item m="1" x="442"/>
        <item m="1" x="359"/>
        <item m="1" x="134"/>
        <item m="1" x="515"/>
        <item m="1" x="456"/>
        <item m="1" x="643"/>
        <item m="1" x="77"/>
        <item m="1" x="748"/>
        <item m="1" x="5"/>
        <item m="1" x="639"/>
        <item m="1" x="754"/>
        <item m="1" x="556"/>
        <item m="1" x="401"/>
        <item m="1" x="689"/>
        <item m="1" x="349"/>
        <item m="1" x="558"/>
        <item m="1" x="253"/>
        <item m="1" x="575"/>
        <item m="1" x="644"/>
        <item m="1" x="315"/>
        <item m="1" x="648"/>
        <item m="1" x="599"/>
        <item m="1" x="199"/>
        <item m="1" x="385"/>
        <item m="1" x="116"/>
        <item m="1" x="254"/>
        <item m="1" x="130"/>
        <item m="1" x="471"/>
        <item m="1" x="120"/>
        <item m="1" x="52"/>
        <item m="1" x="466"/>
        <item m="1" x="365"/>
        <item m="1" x="493"/>
        <item m="1" x="97"/>
        <item m="1" x="187"/>
        <item m="1" x="141"/>
        <item m="1" x="227"/>
        <item m="1" x="805"/>
        <item m="1" x="593"/>
        <item m="1" x="212"/>
        <item m="1" x="624"/>
        <item m="1" x="320"/>
        <item m="1" x="628"/>
        <item m="1" x="661"/>
        <item m="1" x="70"/>
        <item m="1" x="700"/>
        <item m="1" x="795"/>
        <item m="1" x="665"/>
        <item m="1" x="811"/>
        <item m="1" x="569"/>
        <item m="1" x="790"/>
        <item m="1" x="609"/>
        <item m="1" x="551"/>
        <item m="1" x="600"/>
        <item m="1" x="711"/>
        <item m="1" x="124"/>
        <item m="1" x="197"/>
        <item m="1" x="45"/>
        <item m="1" x="510"/>
        <item m="1" x="666"/>
        <item m="1" x="631"/>
        <item m="1" x="517"/>
        <item m="1" x="168"/>
        <item m="1" x="580"/>
        <item m="1" x="499"/>
        <item m="1" x="404"/>
        <item m="1" x="520"/>
        <item m="1" x="743"/>
        <item m="1" x="291"/>
        <item m="1" x="200"/>
        <item m="1" x="226"/>
        <item m="1" x="722"/>
        <item m="1" x="765"/>
        <item m="1" x="69"/>
        <item m="1" x="57"/>
        <item m="1" x="714"/>
        <item m="1" x="381"/>
        <item m="1" x="384"/>
        <item m="1" x="662"/>
        <item m="1" x="88"/>
        <item m="1" x="521"/>
        <item m="1" x="480"/>
        <item m="1" x="180"/>
        <item m="1" x="592"/>
        <item m="1" x="650"/>
        <item m="1" x="367"/>
        <item m="1" x="225"/>
        <item m="1" x="738"/>
        <item m="1" x="29"/>
        <item m="1" x="616"/>
        <item m="1" x="786"/>
        <item m="1" x="306"/>
        <item m="1" x="620"/>
        <item m="1" x="778"/>
        <item m="1" x="537"/>
        <item m="1" x="439"/>
        <item m="1" x="430"/>
        <item m="1" x="534"/>
        <item m="1" x="601"/>
        <item m="1" x="300"/>
        <item m="1" x="448"/>
        <item m="1" x="2"/>
        <item m="1" x="623"/>
        <item m="1" x="123"/>
        <item m="1" x="311"/>
        <item m="1" x="785"/>
        <item m="1" x="486"/>
        <item m="1" x="345"/>
        <item m="1" x="244"/>
        <item m="1" x="606"/>
        <item m="1" x="761"/>
        <item m="1" x="570"/>
        <item m="1" x="428"/>
        <item m="1" x="289"/>
        <item m="1" x="757"/>
        <item m="1" x="188"/>
        <item m="1" x="460"/>
        <item m="1" x="348"/>
        <item m="1" x="34"/>
        <item m="1" x="552"/>
        <item m="1" x="327"/>
        <item m="1" x="145"/>
        <item m="1" x="302"/>
        <item m="1" x="574"/>
        <item m="1" x="474"/>
        <item m="1" x="238"/>
        <item m="1" x="436"/>
        <item m="1" x="249"/>
        <item m="1" x="736"/>
        <item m="1" x="545"/>
        <item m="1" x="164"/>
        <item m="1" x="380"/>
        <item m="1" x="64"/>
        <item m="1" x="807"/>
        <item m="1" x="646"/>
        <item m="1" x="312"/>
        <item m="1" x="48"/>
        <item m="1" x="243"/>
        <item m="1" x="170"/>
        <item m="1" x="355"/>
        <item m="1" x="274"/>
        <item m="1" x="763"/>
        <item m="1" x="58"/>
        <item m="1" x="246"/>
        <item m="1" x="424"/>
        <item m="1" x="209"/>
        <item m="1" x="692"/>
        <item m="1" x="82"/>
        <item m="1" x="388"/>
        <item m="1" x="258"/>
        <item m="1" x="318"/>
        <item m="1" x="127"/>
        <item m="1" x="12"/>
        <item m="1" x="579"/>
        <item m="1" x="523"/>
        <item m="1" x="386"/>
        <item m="1" x="313"/>
        <item m="1" x="357"/>
        <item m="1" x="323"/>
        <item m="1" x="189"/>
        <item m="1" x="76"/>
        <item m="1" x="776"/>
        <item m="1" x="369"/>
        <item m="1" x="109"/>
        <item m="1" x="423"/>
        <item m="1" x="562"/>
        <item m="1" x="578"/>
        <item m="1" x="586"/>
        <item m="1" x="746"/>
        <item m="1" x="632"/>
        <item m="1" x="485"/>
        <item m="1" x="167"/>
        <item m="1" x="619"/>
        <item m="1" x="585"/>
        <item m="1" x="426"/>
        <item m="1" x="241"/>
        <item m="1" x="84"/>
        <item m="1" x="664"/>
        <item m="1" x="591"/>
        <item m="1" x="739"/>
        <item m="1" x="717"/>
        <item m="1" x="630"/>
        <item m="1" x="108"/>
        <item m="1" x="526"/>
        <item m="1" x="24"/>
        <item m="1" x="139"/>
        <item m="1" x="44"/>
        <item m="1" x="248"/>
        <item m="1" x="753"/>
        <item m="1" x="455"/>
        <item m="1" x="540"/>
        <item m="1" x="75"/>
        <item m="1" x="550"/>
        <item m="1" x="597"/>
        <item m="1" x="379"/>
        <item m="1" x="633"/>
        <item m="1" x="611"/>
        <item m="1" x="364"/>
        <item m="1" x="179"/>
        <item m="1" x="94"/>
        <item m="1" x="192"/>
        <item m="1" x="686"/>
        <item m="1" x="20"/>
        <item m="1" x="56"/>
        <item m="1" x="398"/>
        <item m="1" x="185"/>
        <item m="1" x="529"/>
        <item m="1" x="67"/>
        <item m="1" x="610"/>
        <item m="1" x="287"/>
        <item m="1" x="445"/>
        <item m="1" x="658"/>
        <item m="1" x="463"/>
        <item m="1" x="96"/>
        <item m="1" x="779"/>
        <item m="1" x="458"/>
        <item m="1" x="13"/>
        <item m="1" x="74"/>
        <item m="1" x="336"/>
        <item m="1" x="181"/>
        <item m="1" x="582"/>
        <item m="1" x="372"/>
        <item m="1" x="484"/>
        <item m="1" x="516"/>
        <item m="1" x="536"/>
        <item m="1" x="350"/>
        <item m="1" x="216"/>
        <item m="1" x="457"/>
        <item m="1" x="99"/>
        <item m="1" x="163"/>
        <item m="1" x="525"/>
        <item m="1" x="175"/>
        <item m="1" x="222"/>
        <item m="1" x="723"/>
        <item m="1" x="80"/>
        <item m="1" x="479"/>
        <item m="1" x="102"/>
        <item m="1" x="33"/>
        <item m="1" x="498"/>
        <item m="1" x="43"/>
        <item m="1" x="303"/>
        <item m="1" x="63"/>
        <item m="1" x="319"/>
        <item m="1" x="112"/>
        <item m="1" x="813"/>
        <item m="1" x="344"/>
        <item m="1" x="747"/>
        <item m="1" x="704"/>
        <item m="1" x="584"/>
        <item m="1" x="8"/>
        <item m="1" x="119"/>
        <item m="1" x="564"/>
        <item m="1" x="653"/>
        <item x="0"/>
        <item m="1" x="637"/>
        <item m="1" x="71"/>
        <item m="1" x="7"/>
        <item m="1" x="608"/>
        <item m="1" x="5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m="1" x="14"/>
        <item m="1" x="31"/>
        <item m="1" x="41"/>
        <item m="1" x="42"/>
        <item m="1" x="16"/>
        <item x="0"/>
        <item m="1" x="6"/>
        <item m="1" x="23"/>
        <item m="1" x="25"/>
        <item m="1" x="33"/>
        <item m="1" x="7"/>
        <item m="1" x="20"/>
        <item m="1" x="40"/>
        <item m="1" x="8"/>
        <item m="1" x="32"/>
        <item m="1" x="28"/>
        <item m="1" x="37"/>
        <item m="1" x="43"/>
        <item m="1" x="13"/>
        <item m="1" x="19"/>
        <item m="1" x="21"/>
        <item m="1" x="4"/>
        <item m="1" x="11"/>
        <item m="1" x="2"/>
        <item m="1" x="18"/>
        <item m="1" x="29"/>
        <item m="1" x="35"/>
        <item m="1" x="9"/>
        <item m="1" x="3"/>
        <item m="1" x="12"/>
        <item m="1" x="39"/>
        <item m="1" x="10"/>
        <item m="1" x="36"/>
        <item m="1" x="1"/>
        <item m="1" x="34"/>
        <item m="1" x="24"/>
        <item m="1" x="17"/>
        <item m="1" x="22"/>
        <item m="1" x="30"/>
        <item m="1" x="5"/>
        <item m="1" x="27"/>
        <item m="1" x="38"/>
        <item m="1" x="2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2"/>
    <field x="3"/>
    <field x="4"/>
    <field x="1"/>
    <field x="7"/>
    <field x="11"/>
    <field x="9"/>
  </rowFields>
  <rowItems count="2">
    <i>
      <x v="679"/>
      <x v="6"/>
      <x v="814"/>
      <x/>
      <x v="2240"/>
      <x/>
      <x v="13"/>
      <x v="5"/>
    </i>
    <i t="grand">
      <x/>
    </i>
  </rowItems>
  <colItems count="1">
    <i/>
  </colItems>
  <pageFields count="1">
    <pageField fld="10" item="2" hier="-1"/>
  </pageFields>
  <dataFields count="1">
    <dataField name="Soma de VALOR DA NF COM IMPOSTO" fld="8" baseField="11" baseItem="2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8000000}" name="DIN_ORC" cacheId="4" applyNumberFormats="0" applyBorderFormats="0" applyFontFormats="0" applyPatternFormats="0" applyAlignmentFormats="0" applyWidthHeightFormats="1" dataCaption="Valores" updatedVersion="8" minRefreshableVersion="3" showDrill="0" useAutoFormatting="1" colGrandTotals="0" itemPrintTitles="1" createdVersion="4" indent="0" compact="0" compactData="0" multipleFieldFilters="0">
  <location ref="C6:N8" firstHeaderRow="1" firstDataRow="1" firstDataCol="11"/>
  <pivotFields count="13"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3">
        <item m="1" x="1"/>
        <item m="1" x="2"/>
        <item x="0"/>
      </items>
    </pivotField>
    <pivotField axis="axisRow" compact="0" outline="0" showAll="0" defaultSubtotal="0">
      <items count="163">
        <item m="1" x="136"/>
        <item m="1" x="106"/>
        <item m="1" x="84"/>
        <item m="1" x="141"/>
        <item m="1" x="72"/>
        <item m="1" x="74"/>
        <item m="1" x="127"/>
        <item m="1" x="154"/>
        <item m="1" x="99"/>
        <item m="1" x="55"/>
        <item m="1" x="79"/>
        <item m="1" x="120"/>
        <item m="1" x="90"/>
        <item m="1" x="94"/>
        <item m="1" x="133"/>
        <item m="1" x="113"/>
        <item m="1" x="27"/>
        <item m="1" x="54"/>
        <item m="1" x="51"/>
        <item m="1" x="32"/>
        <item m="1" x="76"/>
        <item m="1" x="87"/>
        <item m="1" x="33"/>
        <item m="1" x="102"/>
        <item m="1" x="2"/>
        <item m="1" x="108"/>
        <item m="1" x="81"/>
        <item m="1" x="65"/>
        <item m="1" x="57"/>
        <item m="1" x="126"/>
        <item m="1" x="45"/>
        <item m="1" x="40"/>
        <item m="1" x="101"/>
        <item m="1" x="89"/>
        <item m="1" x="60"/>
        <item m="1" x="39"/>
        <item m="1" x="35"/>
        <item m="1" x="21"/>
        <item m="1" x="4"/>
        <item m="1" x="138"/>
        <item m="1" x="85"/>
        <item m="1" x="110"/>
        <item m="1" x="143"/>
        <item m="1" x="150"/>
        <item m="1" x="111"/>
        <item m="1" x="30"/>
        <item m="1" x="43"/>
        <item m="1" x="49"/>
        <item m="1" x="93"/>
        <item m="1" x="144"/>
        <item m="1" x="92"/>
        <item m="1" x="88"/>
        <item m="1" x="38"/>
        <item m="1" x="10"/>
        <item m="1" x="13"/>
        <item m="1" x="78"/>
        <item m="1" x="130"/>
        <item m="1" x="95"/>
        <item m="1" x="151"/>
        <item m="1" x="25"/>
        <item m="1" x="91"/>
        <item m="1" x="117"/>
        <item m="1" x="149"/>
        <item m="1" x="29"/>
        <item m="1" x="73"/>
        <item m="1" x="34"/>
        <item m="1" x="67"/>
        <item m="1" x="128"/>
        <item m="1" x="11"/>
        <item m="1" x="139"/>
        <item m="1" x="97"/>
        <item m="1" x="103"/>
        <item m="1" x="118"/>
        <item m="1" x="148"/>
        <item m="1" x="107"/>
        <item m="1" x="157"/>
        <item m="1" x="9"/>
        <item m="1" x="155"/>
        <item m="1" x="124"/>
        <item m="1" x="14"/>
        <item m="1" x="62"/>
        <item m="1" x="75"/>
        <item m="1" x="122"/>
        <item m="1" x="137"/>
        <item m="1" x="22"/>
        <item m="1" x="129"/>
        <item m="1" x="96"/>
        <item m="1" x="153"/>
        <item m="1" x="44"/>
        <item m="1" x="24"/>
        <item m="1" x="116"/>
        <item m="1" x="132"/>
        <item m="1" x="152"/>
        <item m="1" x="70"/>
        <item m="1" x="6"/>
        <item m="1" x="80"/>
        <item m="1" x="42"/>
        <item m="1" x="115"/>
        <item m="1" x="123"/>
        <item m="1" x="31"/>
        <item m="1" x="100"/>
        <item m="1" x="114"/>
        <item m="1" x="64"/>
        <item m="1" x="23"/>
        <item m="1" x="160"/>
        <item m="1" x="112"/>
        <item m="1" x="48"/>
        <item m="1" x="63"/>
        <item m="1" x="7"/>
        <item m="1" x="69"/>
        <item m="1" x="161"/>
        <item m="1" x="142"/>
        <item m="1" x="3"/>
        <item m="1" x="59"/>
        <item m="1" x="61"/>
        <item m="1" x="135"/>
        <item m="1" x="162"/>
        <item m="1" x="1"/>
        <item m="1" x="82"/>
        <item m="1" x="12"/>
        <item m="1" x="17"/>
        <item m="1" x="66"/>
        <item m="1" x="121"/>
        <item m="1" x="125"/>
        <item m="1" x="37"/>
        <item m="1" x="58"/>
        <item m="1" x="53"/>
        <item m="1" x="140"/>
        <item m="1" x="77"/>
        <item m="1" x="52"/>
        <item m="1" x="158"/>
        <item m="1" x="5"/>
        <item m="1" x="46"/>
        <item m="1" x="15"/>
        <item m="1" x="19"/>
        <item m="1" x="145"/>
        <item m="1" x="36"/>
        <item m="1" x="26"/>
        <item m="1" x="86"/>
        <item m="1" x="8"/>
        <item m="1" x="104"/>
        <item m="1" x="119"/>
        <item m="1" x="71"/>
        <item m="1" x="134"/>
        <item m="1" x="105"/>
        <item m="1" x="28"/>
        <item m="1" x="47"/>
        <item m="1" x="20"/>
        <item m="1" x="159"/>
        <item m="1" x="98"/>
        <item m="1" x="146"/>
        <item m="1" x="131"/>
        <item m="1" x="50"/>
        <item m="1" x="156"/>
        <item m="1" x="16"/>
        <item m="1" x="18"/>
        <item m="1" x="56"/>
        <item m="1" x="83"/>
        <item m="1" x="109"/>
        <item m="1" x="41"/>
        <item m="1" x="68"/>
        <item m="1" x="147"/>
        <item x="0"/>
      </items>
    </pivotField>
    <pivotField axis="axisRow" compact="0" outline="0" showAll="0" defaultSubtotal="0">
      <items count="582">
        <item m="1" x="76"/>
        <item m="1" x="481"/>
        <item m="1" x="420"/>
        <item m="1" x="39"/>
        <item m="1" x="287"/>
        <item m="1" x="379"/>
        <item m="1" x="344"/>
        <item m="1" x="164"/>
        <item m="1" x="142"/>
        <item m="1" x="87"/>
        <item m="1" x="309"/>
        <item m="1" x="291"/>
        <item m="1" x="345"/>
        <item m="1" x="324"/>
        <item m="1" x="113"/>
        <item m="1" x="565"/>
        <item m="1" x="341"/>
        <item m="1" x="383"/>
        <item m="1" x="95"/>
        <item m="1" x="173"/>
        <item m="1" x="130"/>
        <item m="1" x="340"/>
        <item m="1" x="231"/>
        <item m="1" x="510"/>
        <item m="1" x="438"/>
        <item m="1" x="110"/>
        <item m="1" x="160"/>
        <item m="1" x="439"/>
        <item m="1" x="285"/>
        <item m="1" x="271"/>
        <item m="1" x="468"/>
        <item m="1" x="533"/>
        <item m="1" x="365"/>
        <item m="1" x="134"/>
        <item m="1" x="436"/>
        <item m="1" x="572"/>
        <item m="1" x="398"/>
        <item m="1" x="326"/>
        <item m="1" x="501"/>
        <item m="1" x="61"/>
        <item m="1" x="127"/>
        <item m="1" x="42"/>
        <item m="1" x="505"/>
        <item m="1" x="239"/>
        <item m="1" x="539"/>
        <item m="1" x="156"/>
        <item m="1" x="477"/>
        <item m="1" x="515"/>
        <item m="1" x="16"/>
        <item m="1" x="323"/>
        <item m="1" x="188"/>
        <item m="1" x="283"/>
        <item m="1" x="428"/>
        <item m="1" x="52"/>
        <item m="1" x="205"/>
        <item m="1" x="72"/>
        <item m="1" x="204"/>
        <item m="1" x="24"/>
        <item m="1" x="25"/>
        <item m="1" x="467"/>
        <item m="1" x="147"/>
        <item m="1" x="44"/>
        <item m="1" x="487"/>
        <item m="1" x="150"/>
        <item m="1" x="443"/>
        <item m="1" x="35"/>
        <item m="1" x="217"/>
        <item m="1" x="116"/>
        <item m="1" x="471"/>
        <item m="1" x="141"/>
        <item m="1" x="580"/>
        <item m="1" x="101"/>
        <item m="1" x="114"/>
        <item m="1" x="400"/>
        <item m="1" x="230"/>
        <item m="1" x="47"/>
        <item m="1" x="581"/>
        <item m="1" x="430"/>
        <item m="1" x="526"/>
        <item m="1" x="327"/>
        <item m="1" x="386"/>
        <item m="1" x="67"/>
        <item m="1" x="421"/>
        <item m="1" x="128"/>
        <item m="1" x="554"/>
        <item m="1" x="274"/>
        <item m="1" x="3"/>
        <item m="1" x="50"/>
        <item m="1" x="201"/>
        <item m="1" x="574"/>
        <item m="1" x="555"/>
        <item m="1" x="469"/>
        <item m="1" x="577"/>
        <item m="1" x="485"/>
        <item m="1" x="450"/>
        <item m="1" x="449"/>
        <item m="1" x="18"/>
        <item m="1" x="549"/>
        <item m="1" x="184"/>
        <item m="1" x="261"/>
        <item m="1" x="313"/>
        <item m="1" x="377"/>
        <item m="1" x="132"/>
        <item m="1" x="273"/>
        <item m="1" x="479"/>
        <item m="1" x="393"/>
        <item m="1" x="530"/>
        <item m="1" x="252"/>
        <item m="1" x="51"/>
        <item m="1" x="7"/>
        <item m="1" x="12"/>
        <item m="1" x="390"/>
        <item m="1" x="513"/>
        <item m="1" x="140"/>
        <item m="1" x="124"/>
        <item m="1" x="249"/>
        <item m="1" x="149"/>
        <item m="1" x="382"/>
        <item m="1" x="474"/>
        <item m="1" x="413"/>
        <item m="1" x="43"/>
        <item m="1" x="148"/>
        <item m="1" x="84"/>
        <item m="1" x="96"/>
        <item m="1" x="506"/>
        <item m="1" x="519"/>
        <item m="1" x="71"/>
        <item m="1" x="135"/>
        <item m="1" x="568"/>
        <item m="1" x="245"/>
        <item m="1" x="112"/>
        <item m="1" x="209"/>
        <item m="1" x="331"/>
        <item m="1" x="320"/>
        <item m="1" x="206"/>
        <item m="1" x="559"/>
        <item m="1" x="571"/>
        <item m="1" x="357"/>
        <item m="1" x="464"/>
        <item m="1" x="371"/>
        <item m="1" x="359"/>
        <item m="1" x="496"/>
        <item m="1" x="232"/>
        <item m="1" x="23"/>
        <item m="1" x="389"/>
        <item m="1" x="476"/>
        <item m="1" x="388"/>
        <item m="1" x="221"/>
        <item m="1" x="195"/>
        <item m="1" x="349"/>
        <item m="1" x="125"/>
        <item m="1" x="528"/>
        <item m="1" x="405"/>
        <item m="1" x="145"/>
        <item m="1" x="403"/>
        <item m="1" x="73"/>
        <item m="1" x="225"/>
        <item m="1" x="254"/>
        <item m="1" x="557"/>
        <item m="1" x="454"/>
        <item m="1" x="527"/>
        <item m="1" x="303"/>
        <item m="1" x="30"/>
        <item m="1" x="241"/>
        <item m="1" x="564"/>
        <item m="1" x="343"/>
        <item m="1" x="17"/>
        <item m="1" x="463"/>
        <item m="1" x="207"/>
        <item m="1" x="543"/>
        <item m="1" x="93"/>
        <item m="1" x="74"/>
        <item m="1" x="373"/>
        <item m="1" x="368"/>
        <item m="1" x="178"/>
        <item m="1" x="531"/>
        <item m="1" x="186"/>
        <item m="1" x="375"/>
        <item m="1" x="278"/>
        <item m="1" x="369"/>
        <item m="1" x="158"/>
        <item m="1" x="548"/>
        <item m="1" x="226"/>
        <item m="1" x="152"/>
        <item m="1" x="290"/>
        <item m="1" x="151"/>
        <item m="1" x="157"/>
        <item m="1" x="534"/>
        <item m="1" x="117"/>
        <item m="1" x="316"/>
        <item m="1" x="512"/>
        <item m="1" x="514"/>
        <item m="1" x="97"/>
        <item m="1" x="163"/>
        <item m="1" x="523"/>
        <item m="1" x="70"/>
        <item m="1" x="356"/>
        <item m="1" x="194"/>
        <item m="1" x="342"/>
        <item m="1" x="296"/>
        <item m="1" x="238"/>
        <item m="1" x="304"/>
        <item m="1" x="457"/>
        <item m="1" x="424"/>
        <item m="1" x="279"/>
        <item m="1" x="48"/>
        <item m="1" x="408"/>
        <item m="1" x="456"/>
        <item m="1" x="362"/>
        <item m="1" x="441"/>
        <item m="1" x="75"/>
        <item m="1" x="168"/>
        <item m="1" x="334"/>
        <item m="1" x="181"/>
        <item m="1" x="253"/>
        <item m="1" x="218"/>
        <item m="1" x="363"/>
        <item m="1" x="353"/>
        <item m="1" x="579"/>
        <item m="1" x="489"/>
        <item m="1" x="78"/>
        <item m="1" x="547"/>
        <item m="1" x="426"/>
        <item m="1" x="392"/>
        <item m="1" x="4"/>
        <item m="1" x="237"/>
        <item m="1" x="540"/>
        <item m="1" x="482"/>
        <item m="1" x="220"/>
        <item m="1" x="546"/>
        <item m="1" x="57"/>
        <item m="1" x="521"/>
        <item m="1" x="380"/>
        <item m="1" x="566"/>
        <item m="1" x="492"/>
        <item m="1" x="445"/>
        <item m="1" x="244"/>
        <item m="1" x="444"/>
        <item m="1" x="354"/>
        <item m="1" x="211"/>
        <item m="1" x="281"/>
        <item m="1" x="440"/>
        <item m="1" x="180"/>
        <item m="1" x="196"/>
        <item m="1" x="193"/>
        <item m="1" x="361"/>
        <item m="1" x="197"/>
        <item m="1" x="578"/>
        <item m="1" x="165"/>
        <item m="1" x="509"/>
        <item m="1" x="36"/>
        <item m="1" x="60"/>
        <item m="1" x="192"/>
        <item m="1" x="88"/>
        <item m="1" x="33"/>
        <item m="1" x="40"/>
        <item m="1" x="222"/>
        <item m="1" x="429"/>
        <item m="1" x="45"/>
        <item m="1" x="267"/>
        <item m="1" x="433"/>
        <item m="1" x="69"/>
        <item m="1" x="58"/>
        <item m="1" x="553"/>
        <item m="1" x="289"/>
        <item m="1" x="111"/>
        <item m="1" x="545"/>
        <item m="1" x="347"/>
        <item m="1" x="240"/>
        <item m="1" x="409"/>
        <item m="1" x="143"/>
        <item m="1" x="202"/>
        <item m="1" x="460"/>
        <item m="1" x="106"/>
        <item m="1" x="497"/>
        <item m="1" x="418"/>
        <item m="1" x="338"/>
        <item m="1" x="412"/>
        <item m="1" x="502"/>
        <item m="1" x="301"/>
        <item m="1" x="41"/>
        <item m="1" x="325"/>
        <item m="1" x="556"/>
        <item m="1" x="199"/>
        <item m="1" x="508"/>
        <item m="1" x="366"/>
        <item m="1" x="236"/>
        <item m="1" x="270"/>
        <item m="1" x="486"/>
        <item m="1" x="208"/>
        <item m="1" x="329"/>
        <item m="1" x="404"/>
        <item m="1" x="89"/>
        <item m="1" x="307"/>
        <item m="1" x="21"/>
        <item m="1" x="77"/>
        <item m="1" x="191"/>
        <item m="1" x="536"/>
        <item m="1" x="437"/>
        <item m="1" x="406"/>
        <item m="1" x="9"/>
        <item m="1" x="458"/>
        <item m="1" x="417"/>
        <item m="1" x="182"/>
        <item m="1" x="242"/>
        <item m="1" x="321"/>
        <item m="1" x="284"/>
        <item m="1" x="498"/>
        <item m="1" x="215"/>
        <item m="1" x="22"/>
        <item m="1" x="227"/>
        <item m="1" x="98"/>
        <item m="1" x="335"/>
        <item m="1" x="483"/>
        <item m="1" x="330"/>
        <item m="1" x="419"/>
        <item m="1" x="251"/>
        <item m="1" x="255"/>
        <item m="1" x="146"/>
        <item m="1" x="19"/>
        <item m="1" x="65"/>
        <item m="1" x="123"/>
        <item m="1" x="109"/>
        <item m="1" x="558"/>
        <item m="1" x="561"/>
        <item m="1" x="562"/>
        <item m="1" x="119"/>
        <item m="1" x="560"/>
        <item m="1" x="544"/>
        <item m="1" x="121"/>
        <item m="1" x="461"/>
        <item m="1" x="177"/>
        <item m="1" x="189"/>
        <item m="1" x="234"/>
        <item m="1" x="216"/>
        <item m="1" x="537"/>
        <item m="1" x="31"/>
        <item m="1" x="259"/>
        <item m="1" x="53"/>
        <item m="1" x="275"/>
        <item m="1" x="378"/>
        <item m="1" x="569"/>
        <item m="1" x="465"/>
        <item m="1" x="224"/>
        <item m="1" x="248"/>
        <item m="1" x="54"/>
        <item m="1" x="129"/>
        <item m="1" x="80"/>
        <item m="1" x="302"/>
        <item m="1" x="360"/>
        <item m="1" x="179"/>
        <item m="1" x="524"/>
        <item m="1" x="260"/>
        <item m="1" x="32"/>
        <item m="1" x="2"/>
        <item m="1" x="170"/>
        <item m="1" x="100"/>
        <item m="1" x="5"/>
        <item m="1" x="8"/>
        <item m="1" x="144"/>
        <item m="1" x="34"/>
        <item m="1" x="235"/>
        <item m="1" x="293"/>
        <item m="1" x="355"/>
        <item m="1" x="6"/>
        <item m="1" x="451"/>
        <item m="1" x="229"/>
        <item m="1" x="63"/>
        <item m="1" x="28"/>
        <item m="1" x="387"/>
        <item m="1" x="276"/>
        <item m="1" x="203"/>
        <item m="1" x="442"/>
        <item m="1" x="478"/>
        <item m="1" x="576"/>
        <item m="1" x="20"/>
        <item m="1" x="277"/>
        <item m="1" x="46"/>
        <item m="1" x="541"/>
        <item m="1" x="282"/>
        <item m="1" x="176"/>
        <item m="1" x="250"/>
        <item m="1" x="81"/>
        <item m="1" x="312"/>
        <item m="1" x="172"/>
        <item m="1" x="529"/>
        <item m="1" x="1"/>
        <item m="1" x="374"/>
        <item m="1" x="167"/>
        <item m="1" x="318"/>
        <item m="1" x="308"/>
        <item m="1" x="139"/>
        <item m="1" x="391"/>
        <item m="1" x="431"/>
        <item m="1" x="407"/>
        <item m="1" x="268"/>
        <item m="1" x="317"/>
        <item m="1" x="503"/>
        <item m="1" x="305"/>
        <item m="1" x="306"/>
        <item m="1" x="49"/>
        <item m="1" x="161"/>
        <item m="1" x="480"/>
        <item m="1" x="500"/>
        <item m="1" x="105"/>
        <item m="1" x="358"/>
        <item m="1" x="563"/>
        <item m="1" x="108"/>
        <item m="1" x="337"/>
        <item m="1" x="91"/>
        <item m="1" x="294"/>
        <item m="1" x="518"/>
        <item m="1" x="494"/>
        <item m="1" x="298"/>
        <item m="1" x="416"/>
        <item m="1" x="171"/>
        <item m="1" x="484"/>
        <item m="1" x="466"/>
        <item m="1" x="59"/>
        <item m="1" x="570"/>
        <item m="1" x="472"/>
        <item m="1" x="174"/>
        <item m="1" x="499"/>
        <item m="1" x="102"/>
        <item m="1" x="29"/>
        <item m="1" x="85"/>
        <item m="1" x="62"/>
        <item m="1" x="297"/>
        <item m="1" x="525"/>
        <item m="1" x="256"/>
        <item m="1" x="535"/>
        <item m="1" x="94"/>
        <item m="1" x="348"/>
        <item m="1" x="233"/>
        <item m="1" x="446"/>
        <item m="1" x="552"/>
        <item m="1" x="159"/>
        <item m="1" x="258"/>
        <item m="1" x="550"/>
        <item m="1" x="246"/>
        <item m="1" x="376"/>
        <item m="1" x="64"/>
        <item m="1" x="15"/>
        <item m="1" x="262"/>
        <item m="1" x="311"/>
        <item m="1" x="92"/>
        <item m="1" x="14"/>
        <item m="1" x="322"/>
        <item m="1" x="504"/>
        <item m="1" x="370"/>
        <item m="1" x="299"/>
        <item m="1" x="55"/>
        <item m="1" x="103"/>
        <item m="1" x="511"/>
        <item m="1" x="490"/>
        <item m="1" x="126"/>
        <item m="1" x="118"/>
        <item m="1" x="243"/>
        <item m="1" x="83"/>
        <item m="1" x="470"/>
        <item m="1" x="447"/>
        <item m="1" x="300"/>
        <item m="1" x="153"/>
        <item m="1" x="200"/>
        <item m="1" x="272"/>
        <item m="1" x="185"/>
        <item m="1" x="423"/>
        <item m="1" x="198"/>
        <item m="1" x="332"/>
        <item m="1" x="384"/>
        <item m="1" x="166"/>
        <item m="1" x="542"/>
        <item m="1" x="107"/>
        <item m="1" x="86"/>
        <item m="1" x="286"/>
        <item m="1" x="381"/>
        <item m="1" x="295"/>
        <item m="1" x="516"/>
        <item m="1" x="187"/>
        <item m="1" x="434"/>
        <item m="1" x="532"/>
        <item m="1" x="122"/>
        <item m="1" x="13"/>
        <item m="1" x="120"/>
        <item m="1" x="394"/>
        <item m="1" x="459"/>
        <item m="1" x="551"/>
        <item m="1" x="263"/>
        <item m="1" x="491"/>
        <item m="1" x="346"/>
        <item m="1" x="493"/>
        <item m="1" x="411"/>
        <item m="1" x="214"/>
        <item m="1" x="414"/>
        <item m="1" x="422"/>
        <item m="1" x="115"/>
        <item m="1" x="38"/>
        <item m="1" x="538"/>
        <item m="1" x="385"/>
        <item m="1" x="372"/>
        <item m="1" x="575"/>
        <item m="1" x="264"/>
        <item m="1" x="27"/>
        <item m="1" x="79"/>
        <item m="1" x="104"/>
        <item m="1" x="328"/>
        <item m="1" x="68"/>
        <item m="1" x="280"/>
        <item m="1" x="10"/>
        <item m="1" x="26"/>
        <item m="1" x="56"/>
        <item m="1" x="90"/>
        <item m="1" x="427"/>
        <item m="1" x="266"/>
        <item m="1" x="401"/>
        <item m="1" x="137"/>
        <item m="1" x="351"/>
        <item m="1" x="288"/>
        <item m="1" x="402"/>
        <item m="1" x="452"/>
        <item m="1" x="138"/>
        <item m="1" x="247"/>
        <item m="1" x="517"/>
        <item m="1" x="162"/>
        <item m="1" x="99"/>
        <item m="1" x="269"/>
        <item m="1" x="448"/>
        <item m="1" x="154"/>
        <item m="1" x="183"/>
        <item x="0"/>
        <item m="1" x="396"/>
        <item m="1" x="315"/>
        <item m="1" x="435"/>
        <item m="1" x="339"/>
        <item m="1" x="314"/>
        <item m="1" x="488"/>
        <item m="1" x="495"/>
        <item m="1" x="567"/>
        <item m="1" x="175"/>
        <item m="1" x="399"/>
        <item m="1" x="169"/>
        <item m="1" x="364"/>
        <item m="1" x="333"/>
        <item m="1" x="453"/>
        <item m="1" x="432"/>
        <item m="1" x="573"/>
        <item m="1" x="265"/>
        <item m="1" x="397"/>
        <item m="1" x="210"/>
        <item m="1" x="11"/>
        <item m="1" x="520"/>
        <item m="1" x="462"/>
        <item m="1" x="155"/>
        <item m="1" x="473"/>
        <item m="1" x="228"/>
        <item m="1" x="310"/>
        <item m="1" x="133"/>
        <item m="1" x="131"/>
        <item m="1" x="367"/>
        <item m="1" x="475"/>
        <item m="1" x="455"/>
        <item m="1" x="219"/>
        <item m="1" x="415"/>
        <item m="1" x="212"/>
        <item m="1" x="136"/>
        <item m="1" x="395"/>
        <item m="1" x="410"/>
        <item m="1" x="507"/>
        <item m="1" x="350"/>
        <item m="1" x="213"/>
        <item m="1" x="190"/>
        <item m="1" x="319"/>
        <item m="1" x="425"/>
        <item m="1" x="82"/>
        <item m="1" x="257"/>
        <item m="1" x="66"/>
        <item m="1" x="223"/>
        <item m="1" x="292"/>
        <item m="1" x="37"/>
        <item m="1" x="352"/>
        <item m="1" x="336"/>
        <item m="1" x="522"/>
      </items>
    </pivotField>
    <pivotField axis="axisRow" compact="0" outline="0" showAll="0" defaultSubtotal="0">
      <items count="21">
        <item m="1" x="12"/>
        <item m="1" x="2"/>
        <item m="1" x="11"/>
        <item m="1" x="17"/>
        <item m="1" x="7"/>
        <item m="1" x="14"/>
        <item m="1" x="1"/>
        <item m="1" x="10"/>
        <item m="1" x="5"/>
        <item m="1" x="4"/>
        <item m="1" x="6"/>
        <item m="1" x="16"/>
        <item m="1" x="9"/>
        <item m="1" x="8"/>
        <item m="1" x="20"/>
        <item m="1" x="19"/>
        <item m="1" x="13"/>
        <item m="1" x="15"/>
        <item m="1" x="3"/>
        <item x="0"/>
        <item m="1" x="18"/>
      </items>
    </pivotField>
    <pivotField axis="axisRow" dataField="1" compact="0" outline="0" showAll="0" defaultSubtotal="0">
      <items count="460">
        <item m="1" x="1"/>
        <item m="1" x="17"/>
        <item m="1" x="104"/>
        <item m="1" x="363"/>
        <item m="1" x="259"/>
        <item m="1" x="94"/>
        <item m="1" x="331"/>
        <item m="1" x="437"/>
        <item m="1" x="176"/>
        <item m="1" x="159"/>
        <item m="1" x="59"/>
        <item m="1" x="198"/>
        <item m="1" x="241"/>
        <item m="1" x="60"/>
        <item m="1" x="160"/>
        <item m="1" x="290"/>
        <item m="1" x="80"/>
        <item m="1" x="18"/>
        <item m="1" x="6"/>
        <item m="1" x="448"/>
        <item m="1" x="364"/>
        <item m="1" x="150"/>
        <item m="1" x="161"/>
        <item m="1" x="7"/>
        <item m="1" x="222"/>
        <item m="1" x="444"/>
        <item m="1" x="280"/>
        <item m="1" x="242"/>
        <item m="1" x="117"/>
        <item m="1" x="199"/>
        <item m="1" x="403"/>
        <item m="1" x="421"/>
        <item m="1" x="223"/>
        <item m="1" x="451"/>
        <item m="1" x="132"/>
        <item m="1" x="389"/>
        <item m="1" x="332"/>
        <item m="1" x="376"/>
        <item m="1" x="219"/>
        <item m="1" x="394"/>
        <item m="1" x="211"/>
        <item m="1" x="62"/>
        <item m="1" x="212"/>
        <item m="1" x="19"/>
        <item m="1" x="281"/>
        <item m="1" x="20"/>
        <item m="1" x="433"/>
        <item m="1" x="422"/>
        <item m="1" x="8"/>
        <item m="1" x="452"/>
        <item m="1" x="81"/>
        <item m="1" x="63"/>
        <item m="1" x="390"/>
        <item m="1" x="311"/>
        <item m="1" x="395"/>
        <item m="1" x="224"/>
        <item m="1" x="22"/>
        <item m="1" x="312"/>
        <item m="1" x="225"/>
        <item m="1" x="270"/>
        <item m="1" x="200"/>
        <item m="1" x="144"/>
        <item m="1" x="271"/>
        <item m="1" x="73"/>
        <item m="1" x="118"/>
        <item m="1" x="438"/>
        <item m="1" x="87"/>
        <item m="1" x="9"/>
        <item m="1" x="250"/>
        <item m="1" x="232"/>
        <item m="1" x="10"/>
        <item m="1" x="340"/>
        <item m="1" x="243"/>
        <item m="1" x="445"/>
        <item m="1" x="423"/>
        <item m="1" x="145"/>
        <item m="1" x="74"/>
        <item m="1" x="226"/>
        <item m="1" x="342"/>
        <item m="1" x="377"/>
        <item m="1" x="95"/>
        <item m="1" x="453"/>
        <item m="1" x="195"/>
        <item m="1" x="35"/>
        <item m="1" x="26"/>
        <item m="1" x="108"/>
        <item m="1" x="227"/>
        <item m="1" x="68"/>
        <item m="1" x="291"/>
        <item m="1" x="183"/>
        <item m="1" x="23"/>
        <item m="1" x="260"/>
        <item m="1" x="162"/>
        <item m="1" x="24"/>
        <item m="1" x="163"/>
        <item m="1" x="45"/>
        <item m="1" x="282"/>
        <item m="1" x="151"/>
        <item m="1" x="82"/>
        <item m="1" x="123"/>
        <item m="1" x="261"/>
        <item m="1" x="101"/>
        <item m="1" x="11"/>
        <item m="1" x="46"/>
        <item m="1" x="146"/>
        <item m="1" x="213"/>
        <item m="1" x="164"/>
        <item m="1" x="133"/>
        <item m="1" x="414"/>
        <item m="1" x="27"/>
        <item m="1" x="184"/>
        <item m="1" x="352"/>
        <item m="1" x="36"/>
        <item m="1" x="196"/>
        <item m="1" x="355"/>
        <item m="1" x="404"/>
        <item m="1" x="124"/>
        <item m="1" x="251"/>
        <item m="1" x="12"/>
        <item m="1" x="400"/>
        <item m="1" x="155"/>
        <item m="1" x="75"/>
        <item m="1" x="139"/>
        <item m="1" x="322"/>
        <item m="1" x="64"/>
        <item m="1" x="283"/>
        <item m="1" x="233"/>
        <item m="1" x="439"/>
        <item m="1" x="4"/>
        <item m="1" x="105"/>
        <item m="1" x="102"/>
        <item m="1" x="298"/>
        <item m="1" x="424"/>
        <item m="1" x="208"/>
        <item m="1" x="456"/>
        <item m="1" x="185"/>
        <item m="1" x="165"/>
        <item m="1" x="170"/>
        <item m="1" x="88"/>
        <item m="1" x="356"/>
        <item m="1" x="166"/>
        <item m="1" x="286"/>
        <item m="1" x="37"/>
        <item m="1" x="140"/>
        <item m="1" x="125"/>
        <item m="1" x="425"/>
        <item m="1" x="292"/>
        <item m="1" x="327"/>
        <item m="1" x="382"/>
        <item m="1" x="191"/>
        <item m="1" x="109"/>
        <item m="1" x="25"/>
        <item m="1" x="28"/>
        <item m="1" x="323"/>
        <item m="1" x="2"/>
        <item m="1" x="401"/>
        <item m="1" x="171"/>
        <item m="1" x="51"/>
        <item m="1" x="147"/>
        <item m="1" x="244"/>
        <item m="1" x="228"/>
        <item m="1" x="152"/>
        <item m="1" x="214"/>
        <item m="1" x="201"/>
        <item m="1" x="378"/>
        <item m="1" x="52"/>
        <item m="1" x="415"/>
        <item m="1" x="96"/>
        <item m="1" x="153"/>
        <item m="1" x="76"/>
        <item m="1" x="126"/>
        <item m="1" x="262"/>
        <item m="1" x="396"/>
        <item m="1" x="287"/>
        <item m="1" x="314"/>
        <item m="1" x="83"/>
        <item m="1" x="141"/>
        <item m="1" x="97"/>
        <item m="1" x="220"/>
        <item m="1" x="263"/>
        <item m="1" x="299"/>
        <item m="1" x="29"/>
        <item m="1" x="426"/>
        <item m="1" x="365"/>
        <item m="1" x="391"/>
        <item m="1" x="315"/>
        <item m="1" x="234"/>
        <item m="1" x="333"/>
        <item m="1" x="13"/>
        <item m="1" x="427"/>
        <item m="1" x="440"/>
        <item m="1" x="428"/>
        <item m="1" x="89"/>
        <item m="1" x="366"/>
        <item m="1" x="367"/>
        <item m="1" x="293"/>
        <item m="1" x="53"/>
        <item m="1" x="38"/>
        <item m="1" x="154"/>
        <item m="1" x="54"/>
        <item m="1" x="379"/>
        <item m="1" x="344"/>
        <item m="1" x="98"/>
        <item m="1" x="69"/>
        <item m="1" x="272"/>
        <item m="1" x="383"/>
        <item m="1" x="156"/>
        <item m="1" x="380"/>
        <item m="1" x="30"/>
        <item m="1" x="204"/>
        <item m="1" x="264"/>
        <item m="1" x="192"/>
        <item m="1" x="302"/>
        <item m="1" x="245"/>
        <item m="1" x="235"/>
        <item m="1" x="455"/>
        <item m="1" x="55"/>
        <item m="1" x="406"/>
        <item m="1" x="449"/>
        <item m="1" x="77"/>
        <item m="1" x="407"/>
        <item m="1" x="273"/>
        <item m="1" x="368"/>
        <item m="1" x="221"/>
        <item m="1" x="236"/>
        <item m="1" x="177"/>
        <item m="1" x="265"/>
        <item m="1" x="266"/>
        <item m="1" x="416"/>
        <item m="1" x="429"/>
        <item m="1" x="56"/>
        <item m="1" x="303"/>
        <item m="1" x="99"/>
        <item m="1" x="316"/>
        <item m="1" x="304"/>
        <item m="1" x="317"/>
        <item m="1" x="384"/>
        <item m="1" x="397"/>
        <item m="1" x="284"/>
        <item m="1" x="57"/>
        <item m="1" x="318"/>
        <item m="1" x="402"/>
        <item m="1" x="110"/>
        <item m="1" x="357"/>
        <item m="1" x="70"/>
        <item m="1" x="84"/>
        <item m="1" x="111"/>
        <item m="1" x="90"/>
        <item m="1" x="209"/>
        <item m="1" x="369"/>
        <item m="1" x="21"/>
        <item m="1" x="257"/>
        <item m="1" x="324"/>
        <item m="1" x="446"/>
        <item m="1" x="106"/>
        <item m="1" x="441"/>
        <item m="1" x="345"/>
        <item m="1" x="305"/>
        <item m="1" x="252"/>
        <item m="1" x="39"/>
        <item m="1" x="450"/>
        <item m="1" x="329"/>
        <item m="1" x="40"/>
        <item m="1" x="202"/>
        <item m="1" x="100"/>
        <item m="1" x="306"/>
        <item m="1" x="246"/>
        <item m="1" x="392"/>
        <item m="1" x="346"/>
        <item m="1" x="325"/>
        <item m="1" x="347"/>
        <item m="1" x="307"/>
        <item m="1" x="398"/>
        <item m="1" x="353"/>
        <item m="1" x="417"/>
        <item m="1" x="127"/>
        <item m="1" x="430"/>
        <item m="1" x="358"/>
        <item m="1" x="354"/>
        <item m="1" x="134"/>
        <item m="1" x="308"/>
        <item m="1" x="71"/>
        <item m="1" x="238"/>
        <item m="1" x="215"/>
        <item m="1" x="142"/>
        <item m="1" x="348"/>
        <item m="1" x="370"/>
        <item m="1" x="434"/>
        <item m="1" x="457"/>
        <item m="1" x="47"/>
        <item m="1" x="393"/>
        <item m="1" x="300"/>
        <item m="1" x="442"/>
        <item m="1" x="178"/>
        <item m="1" x="58"/>
        <item m="1" x="330"/>
        <item m="1" x="65"/>
        <item m="1" x="14"/>
        <item m="1" x="186"/>
        <item m="1" x="85"/>
        <item m="1" x="385"/>
        <item m="1" x="408"/>
        <item m="1" x="193"/>
        <item m="1" x="143"/>
        <item m="1" x="447"/>
        <item m="1" x="167"/>
        <item m="1" x="288"/>
        <item m="1" x="48"/>
        <item m="1" x="179"/>
        <item m="1" x="173"/>
        <item m="1" x="435"/>
        <item m="1" x="187"/>
        <item m="1" x="210"/>
        <item m="1" x="418"/>
        <item m="1" x="31"/>
        <item m="1" x="148"/>
        <item m="1" x="371"/>
        <item m="1" x="349"/>
        <item m="1" x="443"/>
        <item m="1" x="72"/>
        <item m="1" x="112"/>
        <item m="1" x="399"/>
        <item m="1" x="205"/>
        <item m="1" x="258"/>
        <item m="1" x="267"/>
        <item m="1" x="119"/>
        <item m="1" x="409"/>
        <item m="1" x="372"/>
        <item m="1" x="247"/>
        <item m="1" x="135"/>
        <item m="1" x="386"/>
        <item m="1" x="180"/>
        <item m="1" x="458"/>
        <item m="1" x="431"/>
        <item m="1" x="5"/>
        <item m="1" x="275"/>
        <item m="1" x="149"/>
        <item m="1" x="230"/>
        <item m="1" x="92"/>
        <item m="1" x="276"/>
        <item m="1" x="268"/>
        <item m="1" x="277"/>
        <item m="1" x="32"/>
        <item m="1" x="66"/>
        <item m="1" x="78"/>
        <item m="1" x="174"/>
        <item m="1" x="419"/>
        <item m="1" x="67"/>
        <item m="1" x="113"/>
        <item m="1" x="319"/>
        <item m="1" x="410"/>
        <item m="1" x="181"/>
        <item m="1" x="128"/>
        <item m="1" x="129"/>
        <item m="1" x="326"/>
        <item m="1" x="216"/>
        <item m="1" x="350"/>
        <item m="1" x="114"/>
        <item m="1" x="169"/>
        <item m="1" x="248"/>
        <item m="1" x="432"/>
        <item m="1" x="15"/>
        <item m="1" x="320"/>
        <item m="1" x="309"/>
        <item m="1" x="337"/>
        <item m="1" x="107"/>
        <item m="1" x="373"/>
        <item m="1" x="321"/>
        <item m="1" x="136"/>
        <item m="1" x="459"/>
        <item m="1" x="33"/>
        <item m="1" x="49"/>
        <item m="1" x="295"/>
        <item m="1" x="253"/>
        <item m="1" x="157"/>
        <item m="1" x="359"/>
        <item m="1" x="217"/>
        <item m="1" x="41"/>
        <item m="1" x="197"/>
        <item m="1" x="254"/>
        <item m="1" x="137"/>
        <item m="1" x="301"/>
        <item m="1" x="218"/>
        <item m="1" x="130"/>
        <item m="1" x="374"/>
        <item m="1" x="120"/>
        <item m="1" x="436"/>
        <item m="1" x="381"/>
        <item m="1" x="42"/>
        <item m="1" x="255"/>
        <item m="1" x="188"/>
        <item m="1" x="296"/>
        <item m="1" x="43"/>
        <item m="1" x="279"/>
        <item m="1" x="34"/>
        <item m="1" x="121"/>
        <item m="1" x="387"/>
        <item m="1" x="203"/>
        <item m="1" x="115"/>
        <item m="1" x="44"/>
        <item m="1" x="138"/>
        <item m="1" x="289"/>
        <item m="1" x="93"/>
        <item m="1" x="239"/>
        <item m="1" x="231"/>
        <item m="1" x="240"/>
        <item m="1" x="420"/>
        <item m="1" x="361"/>
        <item m="1" x="86"/>
        <item m="1" x="50"/>
        <item m="1" x="362"/>
        <item m="1" x="190"/>
        <item m="1" x="411"/>
        <item m="1" x="339"/>
        <item m="1" x="412"/>
        <item m="1" x="207"/>
        <item m="1" x="413"/>
        <item m="1" x="375"/>
        <item m="1" x="103"/>
        <item m="1" x="116"/>
        <item m="1" x="16"/>
        <item m="1" x="310"/>
        <item m="1" x="158"/>
        <item m="1" x="79"/>
        <item m="1" x="269"/>
        <item n="-" x="0"/>
        <item m="1" x="294"/>
        <item m="1" x="334"/>
        <item m="1" x="3"/>
        <item m="1" x="335"/>
        <item m="1" x="336"/>
        <item m="1" x="168"/>
        <item m="1" x="131"/>
        <item m="1" x="351"/>
        <item m="1" x="343"/>
        <item m="1" x="328"/>
        <item m="1" x="256"/>
        <item m="1" x="274"/>
        <item m="1" x="229"/>
        <item m="1" x="405"/>
        <item m="1" x="122"/>
        <item m="1" x="194"/>
        <item m="1" x="237"/>
        <item m="1" x="313"/>
        <item m="1" x="249"/>
        <item m="1" x="341"/>
        <item m="1" x="182"/>
        <item m="1" x="388"/>
        <item m="1" x="189"/>
        <item m="1" x="338"/>
        <item m="1" x="206"/>
        <item m="1" x="285"/>
        <item m="1" x="360"/>
        <item m="1" x="297"/>
        <item m="1" x="454"/>
        <item m="1" x="61"/>
        <item m="1" x="91"/>
        <item m="1" x="175"/>
        <item m="1" x="278"/>
        <item m="1" x="172"/>
      </items>
    </pivotField>
    <pivotField axis="axisRow" compact="0" outline="0" showAll="0" defaultSubtotal="0">
      <items count="143">
        <item m="1" x="131"/>
        <item m="1" x="16"/>
        <item m="1" x="64"/>
        <item m="1" x="62"/>
        <item m="1" x="83"/>
        <item m="1" x="60"/>
        <item m="1" x="17"/>
        <item m="1" x="137"/>
        <item m="1" x="46"/>
        <item m="1" x="103"/>
        <item m="1" x="133"/>
        <item m="1" x="22"/>
        <item m="1" x="66"/>
        <item m="1" x="70"/>
        <item m="1" x="85"/>
        <item m="1" x="1"/>
        <item m="1" x="67"/>
        <item m="1" x="47"/>
        <item m="1" x="23"/>
        <item m="1" x="55"/>
        <item m="1" x="34"/>
        <item m="1" x="50"/>
        <item m="1" x="123"/>
        <item m="1" x="87"/>
        <item m="1" x="114"/>
        <item m="1" x="111"/>
        <item m="1" x="122"/>
        <item m="1" x="28"/>
        <item m="1" x="3"/>
        <item m="1" x="4"/>
        <item m="1" x="13"/>
        <item m="1" x="110"/>
        <item m="1" x="101"/>
        <item m="1" x="42"/>
        <item m="1" x="6"/>
        <item m="1" x="57"/>
        <item m="1" x="49"/>
        <item m="1" x="32"/>
        <item m="1" x="129"/>
        <item m="1" x="5"/>
        <item m="1" x="35"/>
        <item m="1" x="140"/>
        <item m="1" x="74"/>
        <item m="1" x="128"/>
        <item m="1" x="61"/>
        <item m="1" x="126"/>
        <item m="1" x="79"/>
        <item m="1" x="141"/>
        <item m="1" x="53"/>
        <item m="1" x="44"/>
        <item m="1" x="48"/>
        <item m="1" x="72"/>
        <item m="1" x="127"/>
        <item m="1" x="30"/>
        <item m="1" x="138"/>
        <item m="1" x="135"/>
        <item m="1" x="95"/>
        <item m="1" x="29"/>
        <item m="1" x="59"/>
        <item m="1" x="132"/>
        <item m="1" x="88"/>
        <item m="1" x="31"/>
        <item m="1" x="38"/>
        <item m="1" x="65"/>
        <item m="1" x="81"/>
        <item m="1" x="41"/>
        <item m="1" x="130"/>
        <item m="1" x="69"/>
        <item m="1" x="94"/>
        <item m="1" x="27"/>
        <item m="1" x="54"/>
        <item m="1" x="109"/>
        <item m="1" x="104"/>
        <item m="1" x="58"/>
        <item m="1" x="139"/>
        <item m="1" x="14"/>
        <item m="1" x="120"/>
        <item m="1" x="11"/>
        <item m="1" x="142"/>
        <item m="1" x="10"/>
        <item m="1" x="99"/>
        <item m="1" x="24"/>
        <item m="1" x="71"/>
        <item m="1" x="86"/>
        <item m="1" x="25"/>
        <item m="1" x="43"/>
        <item m="1" x="40"/>
        <item m="1" x="20"/>
        <item m="1" x="63"/>
        <item m="1" x="21"/>
        <item m="1" x="102"/>
        <item m="1" x="73"/>
        <item m="1" x="113"/>
        <item m="1" x="68"/>
        <item m="1" x="56"/>
        <item m="1" x="8"/>
        <item m="1" x="37"/>
        <item m="1" x="121"/>
        <item m="1" x="76"/>
        <item m="1" x="115"/>
        <item m="1" x="116"/>
        <item m="1" x="105"/>
        <item m="1" x="12"/>
        <item m="1" x="36"/>
        <item m="1" x="117"/>
        <item m="1" x="82"/>
        <item m="1" x="106"/>
        <item m="1" x="107"/>
        <item m="1" x="118"/>
        <item m="1" x="39"/>
        <item m="1" x="108"/>
        <item m="1" x="33"/>
        <item m="1" x="119"/>
        <item m="1" x="78"/>
        <item m="1" x="96"/>
        <item m="1" x="136"/>
        <item m="1" x="9"/>
        <item m="1" x="15"/>
        <item m="1" x="18"/>
        <item m="1" x="125"/>
        <item m="1" x="89"/>
        <item m="1" x="90"/>
        <item m="1" x="77"/>
        <item m="1" x="98"/>
        <item m="1" x="19"/>
        <item x="0"/>
        <item m="1" x="134"/>
        <item m="1" x="45"/>
        <item m="1" x="112"/>
        <item m="1" x="80"/>
        <item m="1" x="97"/>
        <item m="1" x="93"/>
        <item m="1" x="26"/>
        <item m="1" x="52"/>
        <item m="1" x="91"/>
        <item m="1" x="124"/>
        <item m="1" x="84"/>
        <item m="1" x="51"/>
        <item m="1" x="75"/>
        <item m="1" x="7"/>
        <item m="1" x="2"/>
        <item m="1" x="100"/>
        <item m="1" x="92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9">
        <item m="1" x="1"/>
        <item m="1" x="3"/>
        <item m="1" x="8"/>
        <item m="1" x="4"/>
        <item m="1" x="2"/>
        <item m="1" x="5"/>
        <item m="1" x="7"/>
        <item m="1" x="6"/>
        <item x="0"/>
      </items>
    </pivotField>
    <pivotField axis="axisRow" compact="0" outline="0" showAll="0" defaultSubtotal="0">
      <items count="51">
        <item m="1" x="27"/>
        <item m="1" x="44"/>
        <item m="1" x="5"/>
        <item m="1" x="21"/>
        <item m="1" x="28"/>
        <item m="1" x="34"/>
        <item m="1" x="41"/>
        <item m="1" x="6"/>
        <item m="1" x="10"/>
        <item m="1" x="22"/>
        <item m="1" x="43"/>
        <item m="1" x="16"/>
        <item m="1" x="23"/>
        <item m="1" x="33"/>
        <item m="1" x="35"/>
        <item m="1" x="47"/>
        <item m="1" x="19"/>
        <item m="1" x="29"/>
        <item m="1" x="49"/>
        <item m="1" x="38"/>
        <item m="1" x="39"/>
        <item m="1" x="20"/>
        <item m="1" x="25"/>
        <item m="1" x="42"/>
        <item m="1" x="32"/>
        <item m="1" x="40"/>
        <item m="1" x="37"/>
        <item m="1" x="7"/>
        <item m="1" x="2"/>
        <item m="1" x="31"/>
        <item m="1" x="11"/>
        <item m="1" x="26"/>
        <item m="1" x="24"/>
        <item m="1" x="8"/>
        <item m="1" x="18"/>
        <item m="1" x="3"/>
        <item m="1" x="36"/>
        <item m="1" x="30"/>
        <item m="1" x="50"/>
        <item m="1" x="12"/>
        <item m="1" x="46"/>
        <item m="1" x="9"/>
        <item m="1" x="1"/>
        <item m="1" x="4"/>
        <item m="1" x="14"/>
        <item m="1" x="15"/>
        <item m="1" x="13"/>
        <item m="1" x="45"/>
        <item m="1" x="48"/>
        <item m="1" x="17"/>
        <item n="-" x="0"/>
      </items>
    </pivotField>
    <pivotField compact="0" outline="0" showAll="0" defaultSubtotal="0"/>
    <pivotField axis="axisRow" compact="0" outline="0" showAll="0" defaultSubtotal="0">
      <items count="12">
        <item x="0"/>
        <item m="1" x="1"/>
        <item m="1" x="5"/>
        <item m="1" x="11"/>
        <item m="1" x="6"/>
        <item m="1" x="10"/>
        <item m="1" x="2"/>
        <item m="1" x="3"/>
        <item m="1" x="7"/>
        <item m="1" x="9"/>
        <item m="1" x="4"/>
        <item m="1" x="8"/>
      </items>
    </pivotField>
    <pivotField compact="0" outline="0" showAll="0" defaultSubtotal="0"/>
  </pivotFields>
  <rowFields count="11">
    <field x="0"/>
    <field x="1"/>
    <field x="2"/>
    <field x="3"/>
    <field x="4"/>
    <field x="5"/>
    <field x="6"/>
    <field x="7"/>
    <field x="8"/>
    <field x="9"/>
    <field x="11"/>
  </rowFields>
  <rowItems count="2">
    <i>
      <x v="1"/>
      <x v="2"/>
      <x v="162"/>
      <x v="529"/>
      <x v="19"/>
      <x v="425"/>
      <x v="125"/>
      <x/>
      <x v="8"/>
      <x v="50"/>
      <x/>
    </i>
    <i t="grand">
      <x/>
    </i>
  </rowItems>
  <colItems count="1">
    <i/>
  </colItems>
  <dataFields count="1">
    <dataField name="Soma de VALOR ORÇADO" fld="5" baseField="11" baseItem="0" numFmtId="164"/>
  </dataFields>
  <formats count="1">
    <format dxfId="15">
      <pivotArea dataOnly="0" labelOnly="1" outline="0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B00000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3">
  <location ref="A20:C23" firstHeaderRow="1" firstDataRow="2" firstDataCol="1"/>
  <pivotFields count="11">
    <pivotField showAll="0"/>
    <pivotField showAll="0"/>
    <pivotField showAll="0"/>
    <pivotField numFmtId="14" showAll="0"/>
    <pivotField numFmtId="14" showAll="0"/>
    <pivotField showAll="0"/>
    <pivotField dataField="1" numFmtId="166" showAll="0"/>
    <pivotField axis="axisCol" showAll="0">
      <items count="12">
        <item m="1" x="10"/>
        <item m="1" x="5"/>
        <item m="1" x="9"/>
        <item m="1" x="3"/>
        <item m="1" x="6"/>
        <item x="0"/>
        <item m="1" x="1"/>
        <item m="1" x="4"/>
        <item m="1" x="8"/>
        <item m="1" x="2"/>
        <item m="1" x="7"/>
        <item t="default"/>
      </items>
    </pivotField>
    <pivotField showAll="0"/>
    <pivotField axis="axisRow" showAll="0">
      <items count="15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  <item t="default"/>
      </items>
    </pivotField>
    <pivotField showAll="0"/>
  </pivotFields>
  <rowFields count="1">
    <field x="9"/>
  </rowFields>
  <rowItems count="2">
    <i>
      <x v="13"/>
    </i>
    <i t="grand">
      <x/>
    </i>
  </rowItems>
  <colFields count="1">
    <field x="7"/>
  </colFields>
  <colItems count="2">
    <i>
      <x v="5"/>
    </i>
    <i t="grand">
      <x/>
    </i>
  </colItems>
  <dataFields count="1">
    <dataField name="Soma de VALOR " fld="6" baseField="9" baseItem="1" numFmtId="170"/>
  </dataFields>
  <chartFormats count="3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A000000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compact="0" compactData="0" multipleFieldFilters="0" chartFormat="4">
  <location ref="A1:D5" firstHeaderRow="1" firstDataRow="2" firstDataCol="2"/>
  <pivotFields count="13">
    <pivotField compact="0" outline="0" showAll="0"/>
    <pivotField compact="0" outline="0" showAll="0"/>
    <pivotField axis="axisCol" compact="0" outline="0" showAll="0">
      <items count="8">
        <item m="1" x="5"/>
        <item m="1" x="2"/>
        <item m="1" x="3"/>
        <item m="1" x="1"/>
        <item m="1" x="4"/>
        <item m="1" x="6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/>
    <pivotField compact="0" outline="0" showAll="0"/>
    <pivotField axis="axisRow" compact="0" outline="0" showAll="0">
      <items count="15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  <item t="default"/>
      </items>
    </pivotField>
    <pivotField axis="axisRow" compact="0" outline="0" showAll="0" sortType="ascending">
      <items count="8">
        <item x="0"/>
        <item m="1" x="6"/>
        <item m="1" x="3"/>
        <item m="1" x="5"/>
        <item m="1" x="2"/>
        <item m="1" x="4"/>
        <item m="1" x="1"/>
        <item t="default"/>
      </items>
    </pivotField>
  </pivotFields>
  <rowFields count="2">
    <field x="11"/>
    <field x="12"/>
  </rowFields>
  <rowItems count="3">
    <i>
      <x v="13"/>
      <x/>
    </i>
    <i t="default">
      <x v="13"/>
    </i>
    <i t="grand">
      <x/>
    </i>
  </rowItems>
  <colFields count="1">
    <field x="2"/>
  </colFields>
  <colItems count="2">
    <i>
      <x v="6"/>
    </i>
    <i t="grand">
      <x/>
    </i>
  </colItems>
  <dataFields count="1">
    <dataField name="Soma de VALOR DA NF COM IMPOSTO" fld="8" baseField="0" baseItem="0" numFmtId="164"/>
  </dataFields>
  <chartFormats count="3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15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16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17">
      <pivotArea type="data" outline="0" fieldPosition="0">
        <references count="4">
          <reference field="4294967294" count="1" selected="0">
            <x v="0"/>
          </reference>
          <reference field="2" count="1" selected="0">
            <x v="2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18">
      <pivotArea type="data" outline="0" fieldPosition="0">
        <references count="4">
          <reference field="4294967294" count="1" selected="0">
            <x v="0"/>
          </reference>
          <reference field="2" count="1" selected="0">
            <x v="3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19">
      <pivotArea type="data" outline="0" fieldPosition="0">
        <references count="4">
          <reference field="4294967294" count="1" selected="0">
            <x v="0"/>
          </reference>
          <reference field="2" count="1" selected="0">
            <x v="4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20">
      <pivotArea type="data" outline="0" fieldPosition="0">
        <references count="4">
          <reference field="4294967294" count="1" selected="0">
            <x v="0"/>
          </reference>
          <reference field="2" count="1" selected="0">
            <x v="5"/>
          </reference>
          <reference field="11" count="1" selected="0">
            <x v="2"/>
          </reference>
          <reference field="12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9000000}" name="Tabela dinâmica4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3">
  <location ref="T3:V6" firstHeaderRow="1" firstDataRow="2" firstDataCol="1"/>
  <pivotFields count="13">
    <pivotField showAll="0"/>
    <pivotField showAll="0"/>
    <pivotField showAll="0"/>
    <pivotField showAll="0"/>
    <pivotField axis="axisRow" showAll="0">
      <items count="3">
        <item x="0"/>
        <item m="1" x="1"/>
        <item t="default"/>
      </items>
    </pivotField>
    <pivotField showAll="0"/>
    <pivotField showAll="0"/>
    <pivotField numFmtId="14" showAll="0"/>
    <pivotField dataField="1" showAll="0"/>
    <pivotField showAll="0"/>
    <pivotField showAll="0"/>
    <pivotField showAll="0"/>
    <pivotField axis="axisCol" showAll="0">
      <items count="8">
        <item m="1" x="6"/>
        <item m="1" x="3"/>
        <item m="1" x="5"/>
        <item m="1" x="2"/>
        <item m="1" x="4"/>
        <item m="1" x="1"/>
        <item x="0"/>
        <item t="default"/>
      </items>
    </pivotField>
  </pivotFields>
  <rowFields count="1">
    <field x="4"/>
  </rowFields>
  <rowItems count="2">
    <i>
      <x/>
    </i>
    <i t="grand">
      <x/>
    </i>
  </rowItems>
  <colFields count="1">
    <field x="12"/>
  </colFields>
  <colItems count="2">
    <i>
      <x v="6"/>
    </i>
    <i t="grand">
      <x/>
    </i>
  </colItems>
  <dataFields count="1">
    <dataField name="Soma de VALOR DA NF COM IMPOSTO" fld="8" baseField="4" baseItem="0"/>
  </dataFields>
  <chartFormats count="13"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1" format="11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1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1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1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1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1" format="1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D000000}" name="Tabela dinâmica5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3">
  <location ref="AE4:AG8" firstHeaderRow="1" firstDataRow="2" firstDataCol="1"/>
  <pivotFields count="13">
    <pivotField showAll="0"/>
    <pivotField showAll="0"/>
    <pivotField showAll="0"/>
    <pivotField showAll="0"/>
    <pivotField showAll="0"/>
    <pivotField axis="axisCol" showAll="0">
      <items count="18">
        <item m="1" x="11"/>
        <item m="1" x="13"/>
        <item m="1" x="1"/>
        <item m="1" x="10"/>
        <item x="0"/>
        <item m="1" x="4"/>
        <item m="1" x="9"/>
        <item m="1" x="16"/>
        <item m="1" x="8"/>
        <item m="1" x="14"/>
        <item m="1" x="2"/>
        <item m="1" x="15"/>
        <item m="1" x="3"/>
        <item m="1" x="7"/>
        <item m="1" x="5"/>
        <item m="1" x="12"/>
        <item m="1" x="6"/>
        <item t="default"/>
      </items>
    </pivotField>
    <pivotField showAll="0"/>
    <pivotField numFmtId="14" showAll="0"/>
    <pivotField dataField="1" showAll="0"/>
    <pivotField showAll="0"/>
    <pivotField showAll="0"/>
    <pivotField axis="axisRow" showAll="0">
      <items count="15">
        <item m="1" x="1"/>
        <item m="1" x="13"/>
        <item m="1" x="7"/>
        <item m="1" x="12"/>
        <item m="1" x="2"/>
        <item m="1" x="9"/>
        <item m="1" x="6"/>
        <item m="1" x="3"/>
        <item m="1" x="11"/>
        <item m="1" x="8"/>
        <item m="1" x="5"/>
        <item m="1" x="10"/>
        <item m="1" x="4"/>
        <item x="0"/>
        <item t="default"/>
      </items>
    </pivotField>
    <pivotField axis="axisRow" showAll="0">
      <items count="8">
        <item m="1" x="6"/>
        <item m="1" x="3"/>
        <item m="1" x="5"/>
        <item m="1" x="2"/>
        <item m="1" x="4"/>
        <item m="1" x="1"/>
        <item x="0"/>
        <item t="default"/>
      </items>
    </pivotField>
  </pivotFields>
  <rowFields count="2">
    <field x="11"/>
    <field x="12"/>
  </rowFields>
  <rowItems count="3">
    <i>
      <x v="13"/>
    </i>
    <i r="1">
      <x v="6"/>
    </i>
    <i t="grand">
      <x/>
    </i>
  </rowItems>
  <colFields count="1">
    <field x="5"/>
  </colFields>
  <colItems count="2">
    <i>
      <x v="4"/>
    </i>
    <i t="grand">
      <x/>
    </i>
  </colItems>
  <dataFields count="1">
    <dataField name="Soma de VALOR DA NF COM IMPOSTO" fld="8" baseField="12" baseItem="0" numFmtId="164"/>
  </dataFields>
  <chartFormats count="21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C000000}" name="Tabela dinâ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chartFormat="3">
  <location ref="L3:N6" firstHeaderRow="1" firstDataRow="2" firstDataCol="1"/>
  <pivotFields count="39"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/>
    <pivotField axis="axisRow" showAll="0">
      <items count="80">
        <item m="1" x="67"/>
        <item m="1" x="58"/>
        <item m="1" x="34"/>
        <item m="1" x="18"/>
        <item m="1" x="2"/>
        <item m="1" x="41"/>
        <item m="1" x="72"/>
        <item m="1" x="36"/>
        <item m="1" x="27"/>
        <item m="1" x="74"/>
        <item m="1" x="10"/>
        <item m="1" x="31"/>
        <item m="1" x="48"/>
        <item m="1" x="53"/>
        <item m="1" x="55"/>
        <item m="1" x="63"/>
        <item m="1" x="49"/>
        <item m="1" x="64"/>
        <item m="1" x="24"/>
        <item m="1" x="23"/>
        <item m="1" x="30"/>
        <item m="1" x="28"/>
        <item m="1" x="5"/>
        <item m="1" x="6"/>
        <item m="1" x="76"/>
        <item m="1" x="33"/>
        <item m="1" x="12"/>
        <item m="1" x="59"/>
        <item m="1" x="68"/>
        <item m="1" x="46"/>
        <item m="1" x="75"/>
        <item m="1" x="50"/>
        <item m="1" x="42"/>
        <item x="0"/>
        <item m="1" x="44"/>
        <item m="1" x="52"/>
        <item m="1" x="57"/>
        <item m="1" x="11"/>
        <item m="1" x="71"/>
        <item m="1" x="39"/>
        <item m="1" x="73"/>
        <item m="1" x="70"/>
        <item m="1" x="61"/>
        <item m="1" x="60"/>
        <item m="1" x="78"/>
        <item m="1" x="14"/>
        <item m="1" x="8"/>
        <item m="1" x="29"/>
        <item m="1" x="65"/>
        <item m="1" x="13"/>
        <item m="1" x="20"/>
        <item m="1" x="25"/>
        <item m="1" x="17"/>
        <item m="1" x="47"/>
        <item m="1" x="7"/>
        <item m="1" x="35"/>
        <item m="1" x="77"/>
        <item m="1" x="4"/>
        <item m="1" x="15"/>
        <item m="1" x="54"/>
        <item m="1" x="51"/>
        <item m="1" x="26"/>
        <item m="1" x="22"/>
        <item m="1" x="62"/>
        <item m="1" x="66"/>
        <item m="1" x="37"/>
        <item m="1" x="56"/>
        <item m="1" x="45"/>
        <item m="1" x="16"/>
        <item m="1" x="9"/>
        <item m="1" x="1"/>
        <item m="1" x="3"/>
        <item m="1" x="43"/>
        <item m="1" x="69"/>
        <item m="1" x="19"/>
        <item m="1" x="21"/>
        <item m="1" x="32"/>
        <item m="1" x="38"/>
        <item m="1" x="40"/>
        <item t="default"/>
      </items>
    </pivotField>
    <pivotField dataField="1" showAll="0"/>
    <pivotField showAll="0" defaultSubtotal="0"/>
    <pivotField numFmtId="164"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numFmtId="166" showAll="0"/>
    <pivotField showAll="0"/>
    <pivotField numFmtId="166" showAll="0"/>
    <pivotField numFmtId="166" showAll="0"/>
    <pivotField numFmtId="166" showAll="0"/>
    <pivotField numFmtId="165" showAll="0"/>
    <pivotField numFmtId="165" showAll="0"/>
    <pivotField numFmtId="166" showAll="0"/>
    <pivotField numFmtId="166" showAll="0"/>
    <pivotField numFmtId="166" showAll="0"/>
    <pivotField numFmtId="166" showAll="0"/>
    <pivotField numFmtId="166" showAll="0"/>
    <pivotField axis="axisCol" showAll="0">
      <items count="14">
        <item m="1" x="1"/>
        <item m="1" x="12"/>
        <item x="0"/>
        <item m="1" x="6"/>
        <item m="1" x="2"/>
        <item m="1" x="11"/>
        <item m="1" x="9"/>
        <item m="1" x="8"/>
        <item m="1" x="10"/>
        <item m="1" x="3"/>
        <item m="1" x="7"/>
        <item m="1" x="4"/>
        <item m="1" x="5"/>
        <item t="default"/>
      </items>
    </pivotField>
    <pivotField numFmtId="166" showAll="0"/>
    <pivotField showAll="0"/>
    <pivotField numFmtId="166" showAll="0"/>
    <pivotField showAll="0" defaultSubtotal="0"/>
    <pivotField showAll="0" defaultSubtotal="0"/>
  </pivotFields>
  <rowFields count="1">
    <field x="8"/>
  </rowFields>
  <rowItems count="2">
    <i>
      <x v="33"/>
    </i>
    <i t="grand">
      <x/>
    </i>
  </rowItems>
  <colFields count="1">
    <field x="33"/>
  </colFields>
  <colItems count="2">
    <i>
      <x v="2"/>
    </i>
    <i t="grand">
      <x/>
    </i>
  </colItems>
  <dataFields count="1">
    <dataField name="Soma de VALOR CONTRATO" fld="9" baseField="8" baseItem="38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_INTERNO" xr10:uid="{00000000-0013-0000-FFFF-FFFF01000000}" sourceName="CLIENTE INTERNO">
  <pivotTables>
    <pivotTable tabId="12" name="DIN_OP"/>
  </pivotTables>
  <data>
    <tabular pivotCacheId="1" showMissing="0" crossFilter="none">
      <items count="4">
        <i x="0" s="1"/>
        <i x="1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00000000-0013-0000-FFFF-FFFF02000000}" sourceName="VENDEDOR">
  <pivotTables>
    <pivotTable tabId="12" name="DIN_OP"/>
  </pivotTables>
  <data>
    <tabular pivotCacheId="1" showMissing="0" crossFilter="none">
      <items count="79">
        <i x="0" s="1"/>
        <i x="13" s="1"/>
        <i x="60" s="1"/>
        <i x="65" s="1"/>
        <i x="20" s="1"/>
        <i x="52" s="1"/>
        <i x="8" s="1"/>
        <i x="57" s="1"/>
        <i x="61" s="1"/>
        <i x="14" s="1"/>
        <i x="29" s="1"/>
        <i x="71" s="1"/>
        <i x="11" s="1"/>
        <i x="78" s="1"/>
        <i x="44" s="1"/>
        <i x="73" s="1"/>
        <i x="70" s="1"/>
        <i x="39" s="1"/>
        <i x="50" s="1"/>
        <i x="21" s="1"/>
        <i x="51" s="1"/>
        <i x="22" s="1"/>
        <i x="16" s="1"/>
        <i x="19" s="1"/>
        <i x="62" s="1"/>
        <i x="40" s="1"/>
        <i x="67" s="1"/>
        <i x="58" s="1"/>
        <i x="34" s="1"/>
        <i x="18" s="1"/>
        <i x="2" s="1"/>
        <i x="46" s="1"/>
        <i x="47" s="1"/>
        <i x="1" s="1"/>
        <i x="56" s="1"/>
        <i x="75" s="1"/>
        <i x="77" s="1"/>
        <i x="41" s="1"/>
        <i x="72" s="1"/>
        <i x="36" s="1"/>
        <i x="27" s="1"/>
        <i x="74" s="1"/>
        <i x="37" s="1"/>
        <i x="10" s="1"/>
        <i x="31" s="1"/>
        <i x="48" s="1"/>
        <i x="33" s="1"/>
        <i x="35" s="1"/>
        <i x="69" s="1"/>
        <i x="53" s="1"/>
        <i x="32" s="1"/>
        <i x="54" s="1"/>
        <i x="38" s="1"/>
        <i x="9" s="1"/>
        <i x="55" s="1"/>
        <i x="25" s="1"/>
        <i x="26" s="1"/>
        <i x="17" s="1"/>
        <i x="66" s="1"/>
        <i x="68" s="1"/>
        <i x="63" s="1"/>
        <i x="49" s="1"/>
        <i x="64" s="1"/>
        <i x="43" s="1"/>
        <i x="24" s="1"/>
        <i x="23" s="1"/>
        <i x="3" s="1"/>
        <i x="4" s="1"/>
        <i x="45" s="1"/>
        <i x="7" s="1"/>
        <i x="30" s="1"/>
        <i x="12" s="1"/>
        <i x="15" s="1"/>
        <i x="42" s="1"/>
        <i x="59" s="1"/>
        <i x="76" s="1"/>
        <i x="28" s="1"/>
        <i x="5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pivotTables>
    <pivotTable tabId="12" name="DIN_OP"/>
  </pivotTables>
  <data>
    <tabular pivotCacheId="1">
      <items count="7">
        <i x="3" s="1" nd="1"/>
        <i x="6" s="1" nd="1"/>
        <i x="5" s="1" nd="1"/>
        <i x="1" s="1" nd="1"/>
        <i x="2" s="1" nd="1"/>
        <i x="4" s="1" nd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00000000-0013-0000-FFFF-FFFF04000000}" sourceName="CATEGORIA">
  <pivotTables>
    <pivotTable tabId="13" name="DIN_COMPRAS"/>
  </pivotTables>
  <data>
    <tabular pivotCacheId="2">
      <items count="11">
        <i x="1" s="1" nd="1"/>
        <i x="10" s="1" nd="1"/>
        <i x="5" s="1" nd="1"/>
        <i x="9" s="1" nd="1"/>
        <i x="4" s="1" nd="1"/>
        <i x="8" s="1" nd="1"/>
        <i x="2" s="1" nd="1"/>
        <i x="7" s="1" nd="1"/>
        <i x="3" s="1" nd="1"/>
        <i x="6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COMPRA" xr10:uid="{00000000-0013-0000-FFFF-FFFF05000000}" sourceName="MÊS COMPRA">
  <pivotTables>
    <pivotTable tabId="13" name="DIN_COMPRAS"/>
  </pivotTables>
  <data>
    <tabular pivotCacheId="2">
      <items count="14">
        <i x="1" s="1" nd="1"/>
        <i x="13" s="1" nd="1"/>
        <i x="12" s="1" nd="1"/>
        <i x="2" s="1" nd="1"/>
        <i x="9" s="1" nd="1"/>
        <i x="6" s="1" nd="1"/>
        <i x="3" s="1" nd="1"/>
        <i x="11" s="1" nd="1"/>
        <i x="8" s="1" nd="1"/>
        <i x="5" s="1" nd="1"/>
        <i x="10" s="1" nd="1"/>
        <i x="4" s="1" nd="1"/>
        <i x="0" s="1" nd="1"/>
        <i x="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P_OS" xr10:uid="{00000000-0013-0000-FFFF-FFFF06000000}" sourceName="OP/OS">
  <pivotTables>
    <pivotTable tabId="14" name="DIN_LANC_HORAS"/>
  </pivotTables>
  <data>
    <tabular pivotCacheId="3" showMissing="0" crossFilter="none">
      <items count="65">
        <i x="0" s="1"/>
        <i x="16" s="1"/>
        <i x="23" s="1"/>
        <i x="60" s="1"/>
        <i x="7" s="1"/>
        <i x="56" s="1"/>
        <i x="38" s="1"/>
        <i x="2" s="1"/>
        <i x="54" s="1"/>
        <i x="62" s="1"/>
        <i x="11" s="1"/>
        <i x="44" s="1"/>
        <i x="50" s="1"/>
        <i x="5" s="1"/>
        <i x="22" s="1"/>
        <i x="33" s="1"/>
        <i x="10" s="1"/>
        <i x="43" s="1"/>
        <i x="25" s="1"/>
        <i x="58" s="1"/>
        <i x="12" s="1"/>
        <i x="46" s="1"/>
        <i x="61" s="1"/>
        <i x="14" s="1"/>
        <i x="48" s="1"/>
        <i x="27" s="1"/>
        <i x="63" s="1"/>
        <i x="37" s="1"/>
        <i x="17" s="1"/>
        <i x="49" s="1"/>
        <i x="28" s="1"/>
        <i x="1" s="1"/>
        <i x="39" s="1"/>
        <i x="19" s="1"/>
        <i x="52" s="1"/>
        <i x="29" s="1"/>
        <i x="4" s="1"/>
        <i x="40" s="1"/>
        <i x="20" s="1"/>
        <i x="53" s="1"/>
        <i x="30" s="1"/>
        <i x="8" s="1"/>
        <i x="41" s="1"/>
        <i x="21" s="1"/>
        <i x="55" s="1"/>
        <i x="32" s="1"/>
        <i x="9" s="1"/>
        <i x="42" s="1"/>
        <i x="24" s="1"/>
        <i x="57" s="1"/>
        <i x="34" s="1"/>
        <i x="45" s="1"/>
        <i x="26" s="1"/>
        <i x="59" s="1"/>
        <i x="35" s="1"/>
        <i x="13" s="1"/>
        <i x="47" s="1"/>
        <i x="36" s="1"/>
        <i x="15" s="1"/>
        <i x="64" s="1"/>
        <i x="18" s="1"/>
        <i x="51" s="1"/>
        <i x="3" s="1"/>
        <i x="31" s="1"/>
        <i x="6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ARIO" xr10:uid="{00000000-0013-0000-FFFF-FFFF07000000}" sourceName="FUNCIONARIO">
  <pivotTables>
    <pivotTable tabId="14" name="DIN_LANC_HORAS"/>
  </pivotTables>
  <data>
    <tabular pivotCacheId="3" showMissing="0" crossFilter="none">
      <items count="22">
        <i x="0" s="1"/>
        <i x="6" s="1"/>
        <i x="21" s="1"/>
        <i x="9" s="1"/>
        <i x="13" s="1"/>
        <i x="16" s="1"/>
        <i x="3" s="1"/>
        <i x="7" s="1"/>
        <i x="10" s="1"/>
        <i x="4" s="1"/>
        <i x="5" s="1"/>
        <i x="17" s="1"/>
        <i x="2" s="1"/>
        <i x="19" s="1"/>
        <i x="18" s="1"/>
        <i x="14" s="1"/>
        <i x="8" s="1"/>
        <i x="1" s="1"/>
        <i x="12" s="1"/>
        <i x="20" s="1"/>
        <i x="11" s="1"/>
        <i x="15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0000000-0013-0000-FFFF-FFFF08000000}" sourceName="MÊS">
  <pivotTables>
    <pivotTable tabId="14" name="DIN_LANC_HORAS"/>
  </pivotTables>
  <data>
    <tabular pivotCacheId="3">
      <items count="3">
        <i x="0" s="1"/>
        <i x="1" s="1" nd="1"/>
        <i x="2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S_OP" xr10:uid="{00000000-0013-0000-FFFF-FFFF09000000}" sourceName="OS/OP">
  <pivotTables>
    <pivotTable tabId="15" name="DIN_DESL"/>
  </pivotTables>
  <data>
    <tabular pivotCacheId="4" showMissing="0" crossFilter="none">
      <items count="4">
        <i x="0" s="1"/>
        <i x="1" s="1"/>
        <i x="2" s="1"/>
        <i x="3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00000000-0013-0000-FFFF-FFFF0A000000}" sourceName="MÊS">
  <pivotTables>
    <pivotTable tabId="15" name="DIN_DESL"/>
  </pivotTables>
  <data>
    <tabular pivotCacheId="4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S_OP1" xr10:uid="{00000000-0013-0000-FFFF-FFFF0B000000}" sourceName="OS/OP">
  <pivotTables>
    <pivotTable tabId="17" name="DIN_DESP"/>
  </pivotTables>
  <data>
    <tabular pivotCacheId="5" showMissing="0" crossFilter="none">
      <items count="47">
        <i x="0" s="1"/>
        <i x="11" s="1"/>
        <i x="18" s="1"/>
        <i x="19" s="1"/>
        <i x="30" s="1"/>
        <i x="22" s="1"/>
        <i x="46" s="1"/>
        <i x="31" s="1"/>
        <i x="37" s="1"/>
        <i x="10" s="1"/>
        <i x="45" s="1"/>
        <i x="32" s="1"/>
        <i x="38" s="1"/>
        <i x="23" s="1"/>
        <i x="17" s="1"/>
        <i x="8" s="1"/>
        <i x="41" s="1"/>
        <i x="28" s="1"/>
        <i x="42" s="1"/>
        <i x="40" s="1"/>
        <i x="16" s="1"/>
        <i x="39" s="1"/>
        <i x="14" s="1"/>
        <i x="4" s="1"/>
        <i x="12" s="1"/>
        <i x="5" s="1"/>
        <i x="34" s="1"/>
        <i x="25" s="1"/>
        <i x="1" s="1"/>
        <i x="9" s="1"/>
        <i x="7" s="1"/>
        <i x="36" s="1"/>
        <i x="35" s="1"/>
        <i x="27" s="1"/>
        <i x="24" s="1"/>
        <i x="6" s="1"/>
        <i x="2" s="1"/>
        <i x="26" s="1"/>
        <i x="3" s="1"/>
        <i x="43" s="1"/>
        <i x="20" s="1"/>
        <i x="29" s="1"/>
        <i x="33" s="1"/>
        <i x="13" s="1"/>
        <i x="44" s="1"/>
        <i x="21" s="1"/>
        <i x="15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ARIO1" xr10:uid="{00000000-0013-0000-FFFF-FFFF0C000000}" sourceName="FUNCIONARIO">
  <pivotTables>
    <pivotTable tabId="17" name="DIN_DESP"/>
  </pivotTables>
  <data>
    <tabular pivotCacheId="5" showMissing="0" crossFilter="none">
      <items count="11">
        <i x="0" s="1"/>
        <i x="6" s="1"/>
        <i x="8" s="1"/>
        <i x="5" s="1"/>
        <i x="3" s="1"/>
        <i x="2" s="1"/>
        <i x="10" s="1"/>
        <i x="4" s="1"/>
        <i x="7" s="1"/>
        <i x="9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ASSIFICAÇÃO" xr10:uid="{00000000-0013-0000-FFFF-FFFF0D000000}" sourceName="CLASSIFICAÇÃO">
  <pivotTables>
    <pivotTable tabId="17" name="DIN_DESP"/>
  </pivotTables>
  <data>
    <tabular pivotCacheId="5">
      <items count="8">
        <i x="6" s="1" nd="1"/>
        <i x="5" s="1" nd="1"/>
        <i x="4" s="1" nd="1"/>
        <i x="7" s="1" nd="1"/>
        <i x="3" s="1" nd="1"/>
        <i x="2" s="1" nd="1"/>
        <i x="1" s="1" nd="1"/>
        <i x="0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2" xr10:uid="{00000000-0013-0000-FFFF-FFFF0E000000}" sourceName="MÊS">
  <pivotTables>
    <pivotTable tabId="17" name="DIN_DESP"/>
  </pivotTables>
  <data>
    <tabular pivotCacheId="5">
      <items count="13">
        <i x="1" s="1" nd="1"/>
        <i x="12" s="1" nd="1"/>
        <i x="11" s="1" nd="1"/>
        <i x="2" s="1" nd="1"/>
        <i x="8" s="1" nd="1"/>
        <i x="6" s="1" nd="1"/>
        <i x="3" s="1" nd="1"/>
        <i x="10" s="1" nd="1"/>
        <i x="7" s="1" nd="1"/>
        <i x="5" s="1" nd="1"/>
        <i x="9" s="1" nd="1"/>
        <i x="4" s="1" nd="1"/>
        <i x="0" s="1" nd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_INTERNO1" xr10:uid="{00000000-0013-0000-FFFF-FFFF0F000000}" sourceName="CLIENTE INTERNO">
  <pivotTables>
    <pivotTable tabId="25" name="DIN_FAT"/>
  </pivotTables>
  <data>
    <tabular pivotCacheId="6" showMissing="0" crossFilter="none">
      <items count="7">
        <i x="0" s="1"/>
        <i x="5" s="1"/>
        <i x="2" s="1"/>
        <i x="3" s="1"/>
        <i x="1" s="1"/>
        <i x="4" s="1"/>
        <i x="6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1" xr10:uid="{00000000-0013-0000-FFFF-FFFF10000000}" sourceName="VENDEDOR">
  <pivotTables>
    <pivotTable tabId="25" name="DIN_FAT"/>
  </pivotTables>
  <data>
    <tabular pivotCacheId="6">
      <items count="2">
        <i x="0" s="1"/>
        <i x="1" s="1" nd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FATURAMENTO" xr10:uid="{00000000-0013-0000-FFFF-FFFF11000000}" sourceName="MÊS FATURAMENTO">
  <pivotTables>
    <pivotTable tabId="25" name="DIN_FAT"/>
  </pivotTables>
  <data>
    <tabular pivotCacheId="6">
      <items count="14">
        <i x="0" s="1"/>
        <i x="1" s="1" nd="1"/>
        <i x="13" s="1" nd="1"/>
        <i x="12" s="1" nd="1"/>
        <i x="2" s="1" nd="1"/>
        <i x="9" s="1" nd="1"/>
        <i x="6" s="1" nd="1"/>
        <i x="3" s="1" nd="1"/>
        <i x="11" s="1" nd="1"/>
        <i x="8" s="1" nd="1"/>
        <i x="5" s="1" nd="1"/>
        <i x="10" s="1" nd="1"/>
        <i x="4" s="1" nd="1"/>
        <i x="7" s="1" nd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P_OS1" xr10:uid="{00000000-0013-0000-FFFF-FFFF12000000}" sourceName="OP/OS">
  <pivotTables>
    <pivotTable tabId="13" name="DIN_COMPRAS"/>
  </pivotTables>
  <data>
    <tabular pivotCacheId="2" showMissing="0" crossFilter="none">
      <items count="178">
        <i x="0" s="1"/>
        <i x="89" s="1"/>
        <i x="66" s="1"/>
        <i x="67" s="1"/>
        <i x="104" s="1"/>
        <i x="136" s="1"/>
        <i x="6" s="1"/>
        <i x="72" s="1"/>
        <i x="173" s="1"/>
        <i x="12" s="1"/>
        <i x="113" s="1"/>
        <i x="131" s="1"/>
        <i x="68" s="1"/>
        <i x="8" s="1"/>
        <i x="64" s="1"/>
        <i x="79" s="1"/>
        <i x="18" s="1"/>
        <i x="7" s="1"/>
        <i x="149" s="1"/>
        <i x="114" s="1"/>
        <i x="129" s="1"/>
        <i x="85" s="1"/>
        <i x="19" s="1"/>
        <i x="164" s="1"/>
        <i x="23" s="1"/>
        <i x="62" s="1"/>
        <i x="16" s="1"/>
        <i x="158" s="1"/>
        <i x="3" s="1"/>
        <i x="107" s="1"/>
        <i x="125" s="1"/>
        <i x="96" s="1"/>
        <i x="58" s="1"/>
        <i x="60" s="1"/>
        <i x="27" s="1"/>
        <i x="1" s="1"/>
        <i x="156" s="1"/>
        <i x="159" s="1"/>
        <i x="41" s="1"/>
        <i x="142" s="1"/>
        <i x="132" s="1"/>
        <i x="57" s="1"/>
        <i x="42" s="1"/>
        <i x="59" s="1"/>
        <i x="25" s="1"/>
        <i x="28" s="1"/>
        <i x="14" s="1"/>
        <i x="130" s="1"/>
        <i x="24" s="1"/>
        <i x="152" s="1"/>
        <i x="100" s="1"/>
        <i x="128" s="1"/>
        <i x="143" s="1"/>
        <i x="105" s="1"/>
        <i x="116" s="1"/>
        <i x="92" s="1"/>
        <i x="53" s="1"/>
        <i x="69" s="1"/>
        <i x="20" s="1"/>
        <i x="137" s="1"/>
        <i x="165" s="1"/>
        <i x="170" s="1"/>
        <i x="139" s="1"/>
        <i x="101" s="1"/>
        <i x="4" s="1"/>
        <i x="166" s="1"/>
        <i x="108" s="1"/>
        <i x="126" s="1"/>
        <i x="109" s="1"/>
        <i x="102" s="1"/>
        <i x="86" s="1"/>
        <i x="75" s="1"/>
        <i x="30" s="1"/>
        <i x="49" s="1"/>
        <i x="157" s="1"/>
        <i x="160" s="1"/>
        <i x="167" s="1"/>
        <i x="138" s="1"/>
        <i x="161" s="1"/>
        <i x="120" s="1"/>
        <i x="135" s="1"/>
        <i x="15" s="1"/>
        <i x="2" s="1"/>
        <i x="106" s="1"/>
        <i x="90" s="1"/>
        <i x="70" s="1"/>
        <i x="82" s="1"/>
        <i x="97" s="1"/>
        <i x="145" s="1"/>
        <i x="91" s="1"/>
        <i x="54" s="1"/>
        <i x="140" s="1"/>
        <i x="171" s="1"/>
        <i x="174" s="1"/>
        <i x="155" s="1"/>
        <i x="117" s="1"/>
        <i x="115" s="1"/>
        <i x="80" s="1"/>
        <i x="33" s="1"/>
        <i x="5" s="1"/>
        <i x="31" s="1"/>
        <i x="44" s="1"/>
        <i x="50" s="1"/>
        <i x="103" s="1"/>
        <i x="110" s="1"/>
        <i x="45" s="1"/>
        <i x="63" s="1"/>
        <i x="162" s="1"/>
        <i x="83" s="1"/>
        <i x="9" s="1"/>
        <i x="32" s="1"/>
        <i x="98" s="1"/>
        <i x="88" s="1"/>
        <i x="76" s="1"/>
        <i x="43" s="1"/>
        <i x="146" s="1"/>
        <i x="94" s="1"/>
        <i x="99" s="1"/>
        <i x="73" s="1"/>
        <i x="29" s="1"/>
        <i x="81" s="1"/>
        <i x="26" s="1"/>
        <i x="175" s="1"/>
        <i x="133" s="1"/>
        <i x="93" s="1"/>
        <i x="34" s="1"/>
        <i x="38" s="1"/>
        <i x="55" s="1"/>
        <i x="71" s="1"/>
        <i x="35" s="1"/>
        <i x="168" s="1"/>
        <i x="127" s="1"/>
        <i x="87" s="1"/>
        <i x="65" s="1"/>
        <i x="36" s="1"/>
        <i x="147" s="1"/>
        <i x="51" s="1"/>
        <i x="17" s="1"/>
        <i x="21" s="1"/>
        <i x="163" s="1"/>
        <i x="122" s="1"/>
        <i x="84" s="1"/>
        <i x="46" s="1"/>
        <i x="148" s="1"/>
        <i x="176" s="1"/>
        <i x="144" s="1"/>
        <i x="177" s="1"/>
        <i x="118" s="1"/>
        <i x="121" s="1"/>
        <i x="123" s="1"/>
        <i x="95" s="1"/>
        <i x="39" s="1"/>
        <i x="10" s="1"/>
        <i x="52" s="1"/>
        <i x="40" s="1"/>
        <i x="141" s="1"/>
        <i x="153" s="1"/>
        <i x="111" s="1"/>
        <i x="119" s="1"/>
        <i x="61" s="1"/>
        <i x="22" s="1"/>
        <i x="169" s="1"/>
        <i x="150" s="1"/>
        <i x="112" s="1"/>
        <i x="47" s="1"/>
        <i x="134" s="1"/>
        <i x="124" s="1"/>
        <i x="74" s="1"/>
        <i x="56" s="1"/>
        <i x="13" s="1"/>
        <i x="172" s="1"/>
        <i x="11" s="1"/>
        <i x="154" s="1"/>
        <i x="77" s="1"/>
        <i x="48" s="1"/>
        <i x="37" s="1"/>
        <i x="151" s="1"/>
        <i x="78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EMBOLSAR?" xr10:uid="{00000000-0013-0000-FFFF-FFFF13000000}" sourceName="REEMBOLSAR?">
  <pivotTables>
    <pivotTable tabId="17" name="DIN_DESP"/>
  </pivotTables>
  <data>
    <tabular pivotCacheId="5">
      <items count="3">
        <i x="2" s="1" nd="1"/>
        <i x="1" s="1" nd="1"/>
        <i x="0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_INTERNO2" xr10:uid="{00000000-0013-0000-FFFF-FFFF14000000}" sourceName="CLIENTE INTERNO">
  <pivotTables>
    <pivotTable tabId="26" name="DIN_OP_EXTRA"/>
  </pivotTables>
  <data>
    <tabular pivotCacheId="1">
      <items count="4">
        <i x="0" s="1"/>
        <i x="1" s="1" nd="1"/>
        <i x="3" s="1" nd="1"/>
        <i x="2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2" xr10:uid="{00000000-0013-0000-FFFF-FFFF15000000}" sourceName="VENDEDOR">
  <pivotTables>
    <pivotTable tabId="26" name="DIN_OP_EXTRA"/>
  </pivotTables>
  <data>
    <tabular pivotCacheId="1">
      <items count="79">
        <i x="0" s="1"/>
        <i x="13" s="1" nd="1"/>
        <i x="60" s="1" nd="1"/>
        <i x="65" s="1" nd="1"/>
        <i x="20" s="1" nd="1"/>
        <i x="52" s="1" nd="1"/>
        <i x="8" s="1" nd="1"/>
        <i x="57" s="1" nd="1"/>
        <i x="61" s="1" nd="1"/>
        <i x="14" s="1" nd="1"/>
        <i x="29" s="1" nd="1"/>
        <i x="71" s="1" nd="1"/>
        <i x="11" s="1" nd="1"/>
        <i x="78" s="1" nd="1"/>
        <i x="44" s="1" nd="1"/>
        <i x="73" s="1" nd="1"/>
        <i x="70" s="1" nd="1"/>
        <i x="39" s="1" nd="1"/>
        <i x="50" s="1" nd="1"/>
        <i x="21" s="1" nd="1"/>
        <i x="51" s="1" nd="1"/>
        <i x="22" s="1" nd="1"/>
        <i x="16" s="1" nd="1"/>
        <i x="19" s="1" nd="1"/>
        <i x="62" s="1" nd="1"/>
        <i x="40" s="1" nd="1"/>
        <i x="67" s="1" nd="1"/>
        <i x="58" s="1" nd="1"/>
        <i x="34" s="1" nd="1"/>
        <i x="18" s="1" nd="1"/>
        <i x="2" s="1" nd="1"/>
        <i x="46" s="1" nd="1"/>
        <i x="47" s="1" nd="1"/>
        <i x="1" s="1" nd="1"/>
        <i x="56" s="1" nd="1"/>
        <i x="75" s="1" nd="1"/>
        <i x="77" s="1" nd="1"/>
        <i x="41" s="1" nd="1"/>
        <i x="72" s="1" nd="1"/>
        <i x="36" s="1" nd="1"/>
        <i x="27" s="1" nd="1"/>
        <i x="74" s="1" nd="1"/>
        <i x="37" s="1" nd="1"/>
        <i x="10" s="1" nd="1"/>
        <i x="31" s="1" nd="1"/>
        <i x="48" s="1" nd="1"/>
        <i x="33" s="1" nd="1"/>
        <i x="35" s="1" nd="1"/>
        <i x="69" s="1" nd="1"/>
        <i x="53" s="1" nd="1"/>
        <i x="32" s="1" nd="1"/>
        <i x="54" s="1" nd="1"/>
        <i x="38" s="1" nd="1"/>
        <i x="9" s="1" nd="1"/>
        <i x="55" s="1" nd="1"/>
        <i x="25" s="1" nd="1"/>
        <i x="26" s="1" nd="1"/>
        <i x="17" s="1" nd="1"/>
        <i x="66" s="1" nd="1"/>
        <i x="68" s="1" nd="1"/>
        <i x="63" s="1" nd="1"/>
        <i x="49" s="1" nd="1"/>
        <i x="64" s="1" nd="1"/>
        <i x="43" s="1" nd="1"/>
        <i x="24" s="1" nd="1"/>
        <i x="23" s="1" nd="1"/>
        <i x="3" s="1" nd="1"/>
        <i x="4" s="1" nd="1"/>
        <i x="45" s="1" nd="1"/>
        <i x="7" s="1" nd="1"/>
        <i x="30" s="1" nd="1"/>
        <i x="12" s="1" nd="1"/>
        <i x="15" s="1" nd="1"/>
        <i x="42" s="1" nd="1"/>
        <i x="59" s="1" nd="1"/>
        <i x="76" s="1" nd="1"/>
        <i x="28" s="1" nd="1"/>
        <i x="5" s="1" nd="1"/>
        <i x="6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16000000}" sourceName="STATUS">
  <pivotTables>
    <pivotTable tabId="26" name="DIN_OP_EXTRA"/>
  </pivotTables>
  <data>
    <tabular pivotCacheId="1">
      <items count="7">
        <i x="0" s="1"/>
        <i x="3" s="1" nd="1"/>
        <i x="6" s="1" nd="1"/>
        <i x="5" s="1" nd="1"/>
        <i x="1" s="1" nd="1"/>
        <i x="2" s="1" nd="1"/>
        <i x="4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FAT.1" xr10:uid="{00000000-0013-0000-FFFF-FFFF17000000}" sourceName="MÊS FAT.">
  <pivotTables>
    <pivotTable tabId="26" name="DIN_OP_EXTRA"/>
  </pivotTables>
  <data>
    <tabular pivotCacheId="1">
      <items count="13">
        <i x="0" s="1"/>
        <i x="1" s="1" nd="1"/>
        <i x="12" s="1" nd="1"/>
        <i x="11" s="1" nd="1"/>
        <i x="2" s="1" nd="1"/>
        <i x="8" s="1" nd="1"/>
        <i x="6" s="1" nd="1"/>
        <i x="3" s="1" nd="1"/>
        <i x="10" s="1" nd="1"/>
        <i x="7" s="1" nd="1"/>
        <i x="5" s="1" nd="1"/>
        <i x="9" s="1" nd="1"/>
        <i x="4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_INTERNO11" xr10:uid="{00000000-0013-0000-FFFF-FFFF18000000}" sourceName="CLIENTE INTERNO">
  <pivotTables>
    <pivotTable tabId="27" name="DIN_FAT_EXTRA"/>
  </pivotTables>
  <data>
    <tabular pivotCacheId="6" showMissing="0" crossFilter="none">
      <items count="7">
        <i x="0" s="1"/>
        <i x="5" s="1"/>
        <i x="2" s="1"/>
        <i x="3" s="1"/>
        <i x="1" s="1"/>
        <i x="4" s="1"/>
        <i x="6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11" xr10:uid="{00000000-0013-0000-FFFF-FFFF19000000}" sourceName="VENDEDOR">
  <pivotTables>
    <pivotTable tabId="27" name="DIN_FAT_EXTRA"/>
  </pivotTables>
  <data>
    <tabular pivotCacheId="6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FATURAMENTO1" xr10:uid="{00000000-0013-0000-FFFF-FFFF1A000000}" sourceName="MÊS FATURAMENTO">
  <pivotTables>
    <pivotTable tabId="27" name="DIN_FAT_EXTRA"/>
  </pivotTables>
  <data>
    <tabular pivotCacheId="6">
      <items count="14">
        <i x="0" s="1"/>
        <i x="1" s="1" nd="1"/>
        <i x="13" s="1" nd="1"/>
        <i x="12" s="1" nd="1"/>
        <i x="2" s="1" nd="1"/>
        <i x="9" s="1" nd="1"/>
        <i x="6" s="1" nd="1"/>
        <i x="3" s="1" nd="1"/>
        <i x="11" s="1" nd="1"/>
        <i x="8" s="1" nd="1"/>
        <i x="5" s="1" nd="1"/>
        <i x="10" s="1" nd="1"/>
        <i x="4" s="1" nd="1"/>
        <i x="7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ATUREZA" xr10:uid="{00000000-0013-0000-FFFF-FFFF1B000000}" sourceName="NATUREZA">
  <pivotTables>
    <pivotTable tabId="25" name="DIN_FAT"/>
  </pivotTables>
  <data>
    <tabular pivotCacheId="6">
      <items count="17">
        <i x="0" s="1"/>
        <i x="11" s="1" nd="1"/>
        <i x="13" s="1" nd="1"/>
        <i x="2" s="1" nd="1"/>
        <i x="7" s="1" nd="1"/>
        <i x="15" s="1" nd="1"/>
        <i x="1" s="1" nd="1"/>
        <i x="3" s="1" nd="1"/>
        <i x="14" s="1" nd="1"/>
        <i x="16" s="1" nd="1"/>
        <i x="10" s="1" nd="1"/>
        <i x="4" s="1" nd="1"/>
        <i x="5" s="1" nd="1"/>
        <i x="9" s="1" nd="1"/>
        <i x="6" s="1" nd="1"/>
        <i x="8" s="1" nd="1"/>
        <i x="12" s="1" nd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3" xr10:uid="{00000000-0013-0000-FFFF-FFFF1C000000}" sourceName="VENDEDOR">
  <pivotTables>
    <pivotTable tabId="31" name="DIN_ORC"/>
  </pivotTables>
  <data>
    <tabular pivotCacheId="7" showMissing="0" crossFilter="none">
      <items count="21">
        <i x="0" s="1"/>
        <i x="12" s="1"/>
        <i x="2" s="1"/>
        <i x="11" s="1"/>
        <i x="17" s="1"/>
        <i x="7" s="1"/>
        <i x="14" s="1"/>
        <i x="1" s="1"/>
        <i x="18" s="1"/>
        <i x="10" s="1"/>
        <i x="5" s="1"/>
        <i x="4" s="1"/>
        <i x="6" s="1"/>
        <i x="16" s="1"/>
        <i x="9" s="1"/>
        <i x="8" s="1"/>
        <i x="20" s="1"/>
        <i x="19" s="1"/>
        <i x="13" s="1"/>
        <i x="15" s="1"/>
        <i x="3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1D000000}" sourceName="STATUS">
  <pivotTables>
    <pivotTable tabId="31" name="DIN_ORC"/>
  </pivotTables>
  <data>
    <tabular pivotCacheId="7">
      <items count="9">
        <i x="1" s="1" nd="1"/>
        <i x="3" s="1" nd="1"/>
        <i x="8" s="1" nd="1"/>
        <i x="4" s="1" nd="1"/>
        <i x="2" s="1" nd="1"/>
        <i x="5" s="1" nd="1"/>
        <i x="7" s="1" nd="1"/>
        <i x="6" s="1" nd="1"/>
        <i x="0" s="1" nd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3" xr10:uid="{00000000-0013-0000-FFFF-FFFF1E000000}" sourceName="MÊS">
  <pivotTables>
    <pivotTable tabId="31" name="DIN_ORC"/>
  </pivotTables>
  <data>
    <tabular pivotCacheId="7">
      <items count="12">
        <i x="1" s="1" nd="1"/>
        <i x="11" s="1" nd="1"/>
        <i x="10" s="1" nd="1"/>
        <i x="2" s="1" nd="1"/>
        <i x="7" s="1" nd="1"/>
        <i x="5" s="1" nd="1"/>
        <i x="3" s="1" nd="1"/>
        <i x="9" s="1" nd="1"/>
        <i x="6" s="1" nd="1"/>
        <i x="4" s="1" nd="1"/>
        <i x="8" s="1" nd="1"/>
        <i x="0" s="1" nd="1"/>
      </items>
    </tabular>
  </data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FATURAMENTO2" xr10:uid="{00000000-0013-0000-FFFF-FFFF1F000000}" sourceName="MÊS FATURAMENTO">
  <pivotTables>
    <pivotTable tabId="32" name="Tabela dinâmica1"/>
  </pivotTables>
  <data>
    <tabular pivotCacheId="6">
      <items count="14">
        <i x="0" s="1"/>
        <i x="1" s="1" nd="1"/>
        <i x="13" s="1" nd="1"/>
        <i x="12" s="1" nd="1"/>
        <i x="2" s="1" nd="1"/>
        <i x="9" s="1" nd="1"/>
        <i x="6" s="1" nd="1"/>
        <i x="3" s="1" nd="1"/>
        <i x="11" s="1" nd="1"/>
        <i x="8" s="1" nd="1"/>
        <i x="5" s="1" nd="1"/>
        <i x="10" s="1" nd="1"/>
        <i x="4" s="1" nd="1"/>
        <i x="7" s="1" nd="1"/>
      </items>
    </tabular>
  </data>
</slicerCacheDefinition>
</file>

<file path=xl/slicerCaches/slicerCache3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FINAL." xr10:uid="{00000000-0013-0000-FFFF-FFFF20000000}" sourceName="ANO FINAL.">
  <pivotTables>
    <pivotTable tabId="12" name="DIN_OP"/>
  </pivotTables>
  <data>
    <tabular pivotCacheId="1">
      <items count="11">
        <i x="0" s="1" nd="1"/>
        <i x="1" s="1" nd="1"/>
        <i x="9" s="1" nd="1"/>
        <i x="7" s="1" nd="1"/>
        <i x="5" s="1" nd="1"/>
        <i x="3" s="1" nd="1"/>
        <i x="6" s="1" nd="1"/>
        <i x="4" s="1" nd="1"/>
        <i x="10" s="1" nd="1"/>
        <i x="2" s="1" nd="1"/>
        <i x="8" s="1" nd="1"/>
      </items>
    </tabular>
  </data>
</slicerCacheDefinition>
</file>

<file path=xl/slicerCaches/slicerCache3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FATURAMENTO3" xr10:uid="{00000000-0013-0000-FFFF-FFFF21000000}" sourceName="MÊS FATURAMENTO">
  <pivotTables>
    <pivotTable tabId="32" name="Tabela dinâmica5"/>
  </pivotTables>
  <data>
    <tabular pivotCacheId="6">
      <items count="14">
        <i x="0" s="1"/>
        <i x="1" s="1" nd="1"/>
        <i x="13" s="1" nd="1"/>
        <i x="12" s="1" nd="1"/>
        <i x="2" s="1" nd="1"/>
        <i x="9" s="1" nd="1"/>
        <i x="6" s="1" nd="1"/>
        <i x="3" s="1" nd="1"/>
        <i x="11" s="1" nd="1"/>
        <i x="8" s="1" nd="1"/>
        <i x="5" s="1" nd="1"/>
        <i x="10" s="1" nd="1"/>
        <i x="4" s="1" nd="1"/>
        <i x="7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FATURAMENTO 2" xr10:uid="{00000000-0014-0000-FFFF-FFFF01000000}" cache="SegmentaçãodeDados_MÊS_FATURAMENTO2" caption="MÊS FATURAMENTO" rowHeight="241300"/>
  <slicer name="MÊS FATURAMENTO 3" xr10:uid="{00000000-0014-0000-FFFF-FFFF02000000}" cache="SegmentaçãodeDados_MÊS_FATURAMENTO3" caption="MÊS FATURAM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 INTERNO" xr10:uid="{00000000-0014-0000-FFFF-FFFF03000000}" cache="SegmentaçãodeDados_CLIENTE_INTERNO" caption="CLIENTE INTERNO" rowHeight="241300"/>
  <slicer name="VENDEDOR" xr10:uid="{00000000-0014-0000-FFFF-FFFF04000000}" cache="SegmentaçãodeDados_VENDEDOR" caption="VENDEDOR" rowHeight="241300"/>
  <slicer name="STATUS" xr10:uid="{00000000-0014-0000-FFFF-FFFF05000000}" cache="SegmentaçãodeDados_STATUS" caption="STATUS" rowHeight="241300"/>
  <slicer name="ANO FINAL." xr10:uid="{00000000-0014-0000-FFFF-FFFF06000000}" cache="SegmentaçãodeDados_ANO_FINAL." caption="ANO FINAL.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 INTERNO 1" xr10:uid="{00000000-0014-0000-FFFF-FFFF07000000}" cache="SegmentaçãodeDados_CLIENTE_INTERNO1" caption="CLIENTE INTERNO" rowHeight="241300"/>
  <slicer name="VENDEDOR 1" xr10:uid="{00000000-0014-0000-FFFF-FFFF08000000}" cache="SegmentaçãodeDados_VENDEDOR1" caption="VENDEDOR" rowHeight="241300"/>
  <slicer name="MÊS FATURAMENTO" xr10:uid="{00000000-0014-0000-FFFF-FFFF09000000}" cache="SegmentaçãodeDados_MÊS_FATURAMENTO" caption="MÊS FATURAMENTO" rowHeight="241300"/>
  <slicer name="NATUREZA" xr10:uid="{00000000-0014-0000-FFFF-FFFF0A000000}" cache="SegmentaçãodeDados_NATUREZA" caption="NATUREZA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00000000-0014-0000-FFFF-FFFF0B000000}" cache="SegmentaçãodeDados_CATEGORIA" caption="CATEGORIA" rowHeight="241300"/>
  <slicer name="MÊS COMPRA" xr10:uid="{00000000-0014-0000-FFFF-FFFF0C000000}" cache="SegmentaçãodeDados_MÊS_COMPRA" caption="MÊS COMPRA" rowHeight="241300"/>
  <slicer name="OP/OS 1" xr10:uid="{00000000-0014-0000-FFFF-FFFF0D000000}" cache="SegmentaçãodeDados_OP_OS1" caption="OP/OS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/OS" xr10:uid="{00000000-0014-0000-FFFF-FFFF0E000000}" cache="SegmentaçãodeDados_OP_OS" caption="OP/OS" rowHeight="241300"/>
  <slicer name="FUNCIONARIO" xr10:uid="{00000000-0014-0000-FFFF-FFFF0F000000}" cache="SegmentaçãodeDados_FUNCIONARIO" caption="FUNCIONARIO" rowHeight="241300"/>
  <slicer name="MÊS" xr10:uid="{00000000-0014-0000-FFFF-FFFF10000000}" cache="SegmentaçãodeDados_MÊS" caption="MÊS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S/OP" xr10:uid="{00000000-0014-0000-FFFF-FFFF11000000}" cache="SegmentaçãodeDados_OS_OP" caption="OS/OP" rowHeight="241300"/>
  <slicer name="MÊS 1" xr10:uid="{00000000-0014-0000-FFFF-FFFF12000000}" cache="SegmentaçãodeDados_MÊS1" caption="MÊS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S/OP 1" xr10:uid="{00000000-0014-0000-FFFF-FFFF13000000}" cache="SegmentaçãodeDados_OS_OP1" caption="OS/OP" rowHeight="241300"/>
  <slicer name="FUNCIONARIO 1" xr10:uid="{00000000-0014-0000-FFFF-FFFF14000000}" cache="SegmentaçãodeDados_FUNCIONARIO1" caption="FUNCIONARIO" rowHeight="241300"/>
  <slicer name="CLASSIFICAÇÃO" xr10:uid="{00000000-0014-0000-FFFF-FFFF15000000}" cache="SegmentaçãodeDados_CLASSIFICAÇÃO" caption="CLASSIFICAÇÃO" rowHeight="241300"/>
  <slicer name="MÊS 2" xr10:uid="{00000000-0014-0000-FFFF-FFFF16000000}" cache="SegmentaçãodeDados_MÊS2" caption="MÊS" rowHeight="241300"/>
  <slicer name="REEMBOLSAR?" xr10:uid="{00000000-0014-0000-FFFF-FFFF17000000}" cache="SegmentaçãodeDados_REEMBOLSAR?" caption="REEMBOLSAR?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 INTERNO 2" xr10:uid="{00000000-0014-0000-FFFF-FFFF18000000}" cache="SegmentaçãodeDados_CLIENTE_INTERNO2" caption="CLIENTE INTERNO" rowHeight="241300"/>
  <slicer name="VENDEDOR 2" xr10:uid="{00000000-0014-0000-FFFF-FFFF19000000}" cache="SegmentaçãodeDados_VENDEDOR2" caption="VENDEDOR" startItem="7" rowHeight="241300"/>
  <slicer name="STATUS 1" xr10:uid="{00000000-0014-0000-FFFF-FFFF1A000000}" cache="SegmentaçãodeDados_STATUS1" caption="STATUS" rowHeight="241300"/>
  <slicer name="MÊS FAT. 1" xr10:uid="{00000000-0014-0000-FFFF-FFFF1B000000}" cache="SegmentaçãodeDados_MÊS_FAT.1" caption="MÊS FAT.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 INTERNO 3" xr10:uid="{00000000-0014-0000-FFFF-FFFF1C000000}" cache="SegmentaçãodeDados_CLIENTE_INTERNO11" caption="CLIENTE INTERNO" rowHeight="241300"/>
  <slicer name="VENDEDOR 3" xr10:uid="{00000000-0014-0000-FFFF-FFFF1D000000}" cache="SegmentaçãodeDados_VENDEDOR11" caption="VENDEDOR" rowHeight="241300"/>
  <slicer name="MÊS FATURAMENTO 1" xr10:uid="{00000000-0014-0000-FFFF-FFFF1E000000}" cache="SegmentaçãodeDados_MÊS_FATURAMENTO1" caption="MÊS FATURAMENT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 4" xr10:uid="{00000000-0014-0000-FFFF-FFFF1F000000}" cache="SegmentaçãodeDados_VENDEDOR3" caption="VENDEDOR" rowHeight="241300"/>
  <slicer name="STATUS 2" xr10:uid="{00000000-0014-0000-FFFF-FFFF20000000}" cache="SegmentaçãodeDados_STATUS2" caption="STATUS" rowHeight="241300"/>
  <slicer name="MÊS 3" xr10:uid="{00000000-0014-0000-FFFF-FFFF21000000}" cache="SegmentaçãodeDados_MÊS3" caption="MÊ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41114" displayName="Tabela41114" ref="B8:P23" totalsRowShown="0" headerRowDxfId="133" headerRowBorderDxfId="132" tableBorderDxfId="131" totalsRowBorderDxfId="130">
  <tableColumns count="15">
    <tableColumn id="1" xr3:uid="{00000000-0010-0000-0000-000001000000}" name="MÊS" dataDxfId="129"/>
    <tableColumn id="2" xr3:uid="{00000000-0010-0000-0000-000002000000}" name="(R$) VENDAS" dataDxfId="128">
      <calculatedColumnFormula>SUMIFS(LANC_FAT[VALOR DA NF COM IMPOSTO],LANC_FAT[DATA EMISSÃO],"&gt;="&amp;CALENDARIO!B2,LANC_FAT[DATA EMISSÃO],"&lt;="&amp;CALENDARIO!C2,LANC_FAT[CLIENTE INTERNO],"A&amp;C - VENDAS")</calculatedColumnFormula>
    </tableColumn>
    <tableColumn id="3" xr3:uid="{00000000-0010-0000-0000-000003000000}" name="(%) VENDAS"/>
    <tableColumn id="4" xr3:uid="{00000000-0010-0000-0000-000004000000}" name="(R$) ENG" dataDxfId="127">
      <calculatedColumnFormula>SUMIFS(LANC_FAT[VALOR DA NF COM IMPOSTO],LANC_FAT[DATA EMISSÃO],"&gt;="&amp;CALENDARIO!B2,LANC_FAT[DATA EMISSÃO],"&lt;="&amp;CALENDARIO!C2,LANC_FAT[CLIENTE INTERNO],"A&amp;C - ENG")</calculatedColumnFormula>
    </tableColumn>
    <tableColumn id="5" xr3:uid="{00000000-0010-0000-0000-000005000000}" name="(%) ENG"/>
    <tableColumn id="6" xr3:uid="{00000000-0010-0000-0000-000006000000}" name="(R$) MLM" dataDxfId="126">
      <calculatedColumnFormula>SUMIFS(LANC_FAT[VALOR DA NF COM IMPOSTO],LANC_FAT[DATA EMISSÃO],"&gt;="&amp;CALENDARIO!B2,LANC_FAT[DATA EMISSÃO],"&lt;="&amp;CALENDARIO!C2,LANC_FAT[CLIENTE INTERNO],"MLM")</calculatedColumnFormula>
    </tableColumn>
    <tableColumn id="7" xr3:uid="{00000000-0010-0000-0000-000007000000}" name="(%) MLM"/>
    <tableColumn id="15" xr3:uid="{00000000-0010-0000-0000-00000F000000}" name="(R$) MLM MEC" dataDxfId="125">
      <calculatedColumnFormula>SUMIFS(LANC_FAT[VALOR DA NF COM IMPOSTO],LANC_FAT[DATA EMISSÃO],"&gt;="&amp;CALENDARIO!B2,LANC_FAT[DATA EMISSÃO],"&lt;="&amp;CALENDARIO!C2,LANC_FAT[CLIENTE INTERNO],"MLM-MEC")</calculatedColumnFormula>
    </tableColumn>
    <tableColumn id="16" xr3:uid="{00000000-0010-0000-0000-000010000000}" name="(%) MLM MEC" dataDxfId="124">
      <calculatedColumnFormula>IFERROR(I9/O9,"")</calculatedColumnFormula>
    </tableColumn>
    <tableColumn id="13" xr3:uid="{00000000-0010-0000-0000-00000D000000}" name="(R$) 2AN" dataDxfId="123"/>
    <tableColumn id="14" xr3:uid="{00000000-0010-0000-0000-00000E000000}" name="(%) 2AN" dataDxfId="122">
      <calculatedColumnFormula>IFERROR(K9/O9,"")</calculatedColumnFormula>
    </tableColumn>
    <tableColumn id="11" xr3:uid="{00000000-0010-0000-0000-00000B000000}" name="(R$) MONT" dataDxfId="121"/>
    <tableColumn id="12" xr3:uid="{00000000-0010-0000-0000-00000C000000}" name="(%) MONT" dataDxfId="120">
      <calculatedColumnFormula>IFERROR(M9/O9,"")</calculatedColumnFormula>
    </tableColumn>
    <tableColumn id="8" xr3:uid="{00000000-0010-0000-0000-000008000000}" name="TOTAL" dataDxfId="119"/>
    <tableColumn id="9" xr3:uid="{00000000-0010-0000-0000-000009000000}" name="% TOTAL" dataDxfId="1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Tabela41115" displayName="Tabela41115" ref="B26:J41" totalsRowShown="0" headerRowDxfId="117" headerRowBorderDxfId="116" tableBorderDxfId="115" totalsRowBorderDxfId="114">
  <tableColumns count="9">
    <tableColumn id="1" xr3:uid="{00000000-0010-0000-0100-000001000000}" name="MÊS" dataDxfId="113"/>
    <tableColumn id="2" xr3:uid="{00000000-0010-0000-0100-000002000000}" name="(R$) KIT/REV" dataDxfId="112"/>
    <tableColumn id="3" xr3:uid="{00000000-0010-0000-0100-000003000000}" name="(%) KIT/SERV"/>
    <tableColumn id="4" xr3:uid="{00000000-0010-0000-0100-000004000000}" name="(R$) SERVIÇOS (OS)" dataDxfId="111"/>
    <tableColumn id="5" xr3:uid="{00000000-0010-0000-0100-000005000000}" name="(%) SERVIÇOS (OS)"/>
    <tableColumn id="6" xr3:uid="{00000000-0010-0000-0100-000006000000}" name="(R$) IND" dataDxfId="110"/>
    <tableColumn id="7" xr3:uid="{00000000-0010-0000-0100-000007000000}" name="(%) IND "/>
    <tableColumn id="8" xr3:uid="{00000000-0010-0000-0100-000008000000}" name="TOTAL" dataDxfId="109">
      <calculatedColumnFormula>Tabela41115[[#This Row],[(R$) KIT/REV]]+Tabela41115[[#This Row],[(R$) SERVIÇOS (OS)]]+Tabela41115[[#This Row],[(R$) IND]]</calculatedColumnFormula>
    </tableColumn>
    <tableColumn id="9" xr3:uid="{00000000-0010-0000-0100-000009000000}" name="% TOTAL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LAN_OP" displayName="LAN_OP" ref="A4:AM98" totalsRowShown="0" headerRowDxfId="108">
  <autoFilter ref="A4:AM98" xr:uid="{00000000-0009-0000-0100-000007000000}"/>
  <tableColumns count="39">
    <tableColumn id="1" xr3:uid="{00000000-0010-0000-0200-000001000000}" name="OP/OS"/>
    <tableColumn id="2" xr3:uid="{00000000-0010-0000-0200-000002000000}" name="ORDEM DE COMPRA" dataDxfId="107"/>
    <tableColumn id="9" xr3:uid="{00000000-0010-0000-0200-000009000000}" name="DATA O.C (INICIO)" dataDxfId="106"/>
    <tableColumn id="3" xr3:uid="{00000000-0010-0000-0200-000003000000}" name="CLIENTE INTERNO"/>
    <tableColumn id="4" xr3:uid="{00000000-0010-0000-0200-000004000000}" name="CLIENTE EXTERNO"/>
    <tableColumn id="11" xr3:uid="{00000000-0010-0000-0200-00000B000000}" name="TIPO"/>
    <tableColumn id="5" xr3:uid="{00000000-0010-0000-0200-000005000000}" name="NATUREZA"/>
    <tableColumn id="6" xr3:uid="{00000000-0010-0000-0200-000006000000}" name="DESCRIÇÃO REDUZIDA"/>
    <tableColumn id="7" xr3:uid="{00000000-0010-0000-0200-000007000000}" name="VENDEDOR" dataDxfId="105"/>
    <tableColumn id="8" xr3:uid="{00000000-0010-0000-0200-000008000000}" name="VALOR CONTRATO" dataDxfId="104"/>
    <tableColumn id="10" xr3:uid="{00000000-0010-0000-0200-00000A000000}" name="% FAT.">
      <calculatedColumnFormula>LAN_OP[[#This Row],[VALOR FATURADO]]/LAN_OP[[#This Row],[VALOR CONTRATO]]</calculatedColumnFormula>
    </tableColumn>
    <tableColumn id="12" xr3:uid="{00000000-0010-0000-0200-00000C000000}" name="SALDO FAT.">
      <calculatedColumnFormula>LAN_OP[[#This Row],[VALOR CONTRATO]]-LAN_OP[[#This Row],[VALOR FATURADO]]</calculatedColumnFormula>
    </tableColumn>
    <tableColumn id="13" xr3:uid="{00000000-0010-0000-0200-00000D000000}" name="% ABERTO FAT."/>
    <tableColumn id="16" xr3:uid="{00000000-0010-0000-0200-000010000000}" name="INDICAÇÃO" dataDxfId="103"/>
    <tableColumn id="17" xr3:uid="{00000000-0010-0000-0200-000011000000}" name="COORDENADOR DO PROJETO" dataDxfId="102"/>
    <tableColumn id="18" xr3:uid="{00000000-0010-0000-0200-000012000000}" name="% EXECUTADO"/>
    <tableColumn id="14" xr3:uid="{00000000-0010-0000-0200-00000E000000}" name="FINAL MONT (DATA)" dataDxfId="101"/>
    <tableColumn id="19" xr3:uid="{00000000-0010-0000-0200-000013000000}" name="STATUS" dataDxfId="100"/>
    <tableColumn id="20" xr3:uid="{00000000-0010-0000-0200-000014000000}" name="OBSERVAÇÕES" dataDxfId="99"/>
    <tableColumn id="21" xr3:uid="{00000000-0010-0000-0200-000015000000}" name="Nº NOTA FISCAL" dataDxfId="98">
      <calculatedColumnFormula>IFERROR(VLOOKUP(LAN_OP[[#This Row],[OP/OS]],LANC_FAT!A:M,2,0),"-")</calculatedColumnFormula>
    </tableColumn>
    <tableColumn id="22" xr3:uid="{00000000-0010-0000-0200-000016000000}" name="DATA FATURAMENTO" dataDxfId="97">
      <calculatedColumnFormula>IFERROR(VLOOKUP(LAN_OP[[#This Row],[OP/OS]],LANC_FAT!A:M,8,0),"-")</calculatedColumnFormula>
    </tableColumn>
    <tableColumn id="23" xr3:uid="{00000000-0010-0000-0200-000017000000}" name="VALOR FATURADO" dataDxfId="96">
      <calculatedColumnFormula>SUMIF(LANC_FAT[OP/OS],LAN_OP[[#This Row],[OP/OS]],LANC_FAT[VALOR DA NF COM IMPOSTO])</calculatedColumnFormula>
    </tableColumn>
    <tableColumn id="25" xr3:uid="{00000000-0010-0000-0200-000019000000}" name="CUSTO MATERIAL SISTEMA" dataDxfId="95"/>
    <tableColumn id="26" xr3:uid="{00000000-0010-0000-0200-00001A000000}" name="CUSTO MATERIAL COMPRAS" dataDxfId="94">
      <calculatedColumnFormula>SUMIF(LANC_COMPRA[OP/OS],LAN_OP[[#This Row],[OP/OS]],LANC_COMPRA[[VALOR ]])</calculatedColumnFormula>
    </tableColumn>
    <tableColumn id="27" xr3:uid="{00000000-0010-0000-0200-00001B000000}" name="CUSTO MÃO DE OBRA UTILIZADO NORMAL" dataDxfId="93">
      <calculatedColumnFormula>SUMIF(LANC_HORAS[OP/OS],LAN_OP[[#This Row],[OP/OS]],LANC_HORAS[TOTAL GERAL NORMAL])</calculatedColumnFormula>
    </tableColumn>
    <tableColumn id="28" xr3:uid="{00000000-0010-0000-0200-00001C000000}" name="CUSTO MÃO DE OBRA UTILIZADO EXTRA" dataDxfId="92">
      <calculatedColumnFormula>SUMIF(LANC_HORAS[OP/OS],LAN_OP[[#This Row],[OP/OS]],LANC_HORAS[TOTAL GERAL EXTRAS])</calculatedColumnFormula>
    </tableColumn>
    <tableColumn id="29" xr3:uid="{00000000-0010-0000-0200-00001D000000}" name="TOTAL HORAS NORMAIS" dataDxfId="91">
      <calculatedColumnFormula>SUMIF(LANC_HORAS[OP/OS],LAN_OP[[#This Row],[OP/OS]],LANC_HORAS[TOTAL H.N])</calculatedColumnFormula>
    </tableColumn>
    <tableColumn id="30" xr3:uid="{00000000-0010-0000-0200-00001E000000}" name="TOTAL HORAS EXTRAS" dataDxfId="90">
      <calculatedColumnFormula>SUMIF(LANC_HORAS[OP/OS],LAN_OP[[#This Row],[OP/OS]],LANC_HORAS[TOTAL H.E])</calculatedColumnFormula>
    </tableColumn>
    <tableColumn id="31" xr3:uid="{00000000-0010-0000-0200-00001F000000}" name="DESPESAS COM FUNCIONARIOS" dataDxfId="89">
      <calculatedColumnFormula>SUMIF(LANC_DESPESAS[OS/OP],LAN_OP[[#This Row],[OP/OS]],LANC_DESPESAS[OBSERVAÇÕES])</calculatedColumnFormula>
    </tableColumn>
    <tableColumn id="32" xr3:uid="{00000000-0010-0000-0200-000020000000}" name="DESPESA COM DESLOCAMENTO" dataDxfId="88">
      <calculatedColumnFormula>SUMIF(LANC_DESLOC[OS/OP],LAN_OP[[#This Row],[OP/OS]],LANC_DESLOC[ANO])</calculatedColumnFormula>
    </tableColumn>
    <tableColumn id="33" xr3:uid="{00000000-0010-0000-0200-000021000000}" name="TOTAL PARCIAL (M.O+MT+DESP)" dataDxfId="87">
      <calculatedColumnFormula>LAN_OP[[#This Row],[DESPESA COM DESLOCAMENTO]]+LAN_OP[[#This Row],[DESPESAS COM FUNCIONARIOS]]+LAN_OP[[#This Row],[CUSTO MÃO DE OBRA UTILIZADO NORMAL]]+LAN_OP[[#This Row],[CUSTO MÃO DE OBRA UTILIZADO EXTRA]]+LAN_OP[[#This Row],[CUSTO MATERIAL SISTEMA]]</calculatedColumnFormula>
    </tableColumn>
    <tableColumn id="34" xr3:uid="{00000000-0010-0000-0200-000022000000}" name="TOTAL PARCIAL + OUTROS CUSTOS (8%)" dataDxfId="86">
      <calculatedColumnFormula>LAN_OP[[#This Row],[TOTAL PARCIAL (M.O+MT+DESP)]]*1.08</calculatedColumnFormula>
    </tableColumn>
    <tableColumn id="35" xr3:uid="{00000000-0010-0000-0200-000023000000}" name="TOTAL CUSTO (O.C + DI + MT + MO+DESP)" dataDxfId="85">
      <calculatedColumnFormula>LAN_OP[[#This Row],[TOTAL PARCIAL + OUTROS CUSTOS (8%)]]*1.09</calculatedColumnFormula>
    </tableColumn>
    <tableColumn id="36" xr3:uid="{00000000-0010-0000-0200-000024000000}" name="MÊS FAT." dataDxfId="84">
      <calculatedColumnFormula>IF(AND(U5&gt;=CALENDARIO!$B$2,U5&lt;=CALENDARIO!$C$2),"JANEIRO",IF(AND(U5&gt;=CALENDARIO!$B$3,U5&lt;=CALENDARIO!$C$3),"FEVEREIRO",IF(AND(U5&gt;=CALENDARIO!$B$4,U5&lt;=CALENDARIO!$C$4),"MARÇO",IF(AND(U5&gt;=CALENDARIO!$B$5,U5&lt;=CALENDARIO!$C$5),"ABRIL",IF(AND(U5&gt;=CALENDARIO!$B$6,U5&lt;=CALENDARIO!$C$6),"MAIO",IF(AND(U5&gt;=CALENDARIO!$B$7,U5&lt;=CALENDARIO!$C$7),"JUNHO",IF(AND(U5&gt;=CALENDARIO!$B$8,U5&lt;=CALENDARIO!$C$8),"JULHO",IF(AND(U5&gt;=CALENDARIO!$B$9,U5&lt;=CALENDARIO!$C$9),"AGOSTO",IF(AND(U5&gt;=CALENDARIO!$B$10,U5&lt;=CALENDARIO!$C$10),"SETEMBRO",IF(AND(U5&gt;=CALENDARIO!$B$11,U5&lt;=CALENDARIO!$C$11),"OUTUBRO",IF(AND(U5&gt;=CALENDARIO!$B$12,U5&lt;=CALENDARIO!$C$12),"NOVEMBRO",IF(AND(U5&gt;=CALENDARIO!$B$13,U5&lt;=CALENDARIO!$C$13),"DEZEMBRO","-"))))))))))))</calculatedColumnFormula>
    </tableColumn>
    <tableColumn id="37" xr3:uid="{00000000-0010-0000-0200-000025000000}" name="R$ (CONTRATO - CUSTOS)" dataDxfId="83">
      <calculatedColumnFormula>LAN_OP[[#This Row],[VALOR CONTRATO]]-LAN_OP[[#This Row],[TOTAL CUSTO (O.C + DI + MT + MO+DESP)]]</calculatedColumnFormula>
    </tableColumn>
    <tableColumn id="38" xr3:uid="{00000000-0010-0000-0200-000026000000}" name="% (CONTRATO - CUSTOS)" dataDxfId="82">
      <calculatedColumnFormula>IFERROR(LAN_OP[[#This Row],[R$ (CONTRATO - CUSTOS)]]/LAN_OP[[#This Row],[VALOR CONTRATO]],"")</calculatedColumnFormula>
    </tableColumn>
    <tableColumn id="39" xr3:uid="{00000000-0010-0000-0200-000027000000}" name="ANALISE (CONTRATO - FAT)" dataDxfId="81">
      <calculatedColumnFormula>LAN_OP[[#This Row],[VALOR CONTRATO]]-LAN_OP[[#This Row],[VALOR FATURADO]]</calculatedColumnFormula>
    </tableColumn>
    <tableColumn id="15" xr3:uid="{00000000-0010-0000-0200-00000F000000}" name="MÊS DA O.C" dataDxfId="80">
      <calculatedColumnFormula>IF(AND(C5&gt;=CALENDARIO!$B$2,C5&lt;=CALENDARIO!$C$2),"JANEIRO",IF(AND(C5&gt;=CALENDARIO!$B$3,C5&lt;=CALENDARIO!$C$3),"FEVEREIRO",IF(AND(C5&gt;=CALENDARIO!$B$4,C5&lt;=CALENDARIO!$C$4),"MARÇO",IF(AND(C5&gt;=CALENDARIO!$B$5,C5&lt;=CALENDARIO!$C$5),"ABRIL",IF(AND(C5&gt;=CALENDARIO!$B$6,C5&lt;=CALENDARIO!$C$6),"MAIO",IF(AND(C5&gt;=CALENDARIO!$B$7,C5&lt;=CALENDARIO!$C$7),"JUNHO",IF(AND(C5&gt;=CALENDARIO!$B$8,C5&lt;=CALENDARIO!$C$8),"JULHO",IF(AND(C5&gt;=CALENDARIO!$B$9,C5&lt;=CALENDARIO!$C$9),"AGOSTO",IF(AND(C5&gt;=CALENDARIO!$B$10,C5&lt;=CALENDARIO!$C$10),"SETEMBRO",IF(AND(C5&gt;=CALENDARIO!$B$11,C5&lt;=CALENDARIO!$C$11),"OUTUBRO",IF(AND(C5&gt;=CALENDARIO!$B$12,C5&lt;=CALENDARIO!$C$12),"NOVEMBRO",IF(AND(C5&gt;=CALENDARIO!$B$13,C5&lt;=CALENDARIO!$C$13),"DEZEMBRO","-"))))))))))))</calculatedColumnFormula>
    </tableColumn>
    <tableColumn id="24" xr3:uid="{00000000-0010-0000-0200-000018000000}" name="ANO FINAL." dataDxfId="79">
      <calculatedColumnFormula>RIGHT(LAN_OP[[#This Row],[OP/OS]],4)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LANC_COMPRA" displayName="LANC_COMPRA" ref="A4:K24" totalsRowShown="0" headerRowDxfId="78">
  <autoFilter ref="A4:K24" xr:uid="{00000000-0009-0000-0100-000004000000}"/>
  <tableColumns count="11">
    <tableColumn id="1" xr3:uid="{00000000-0010-0000-0300-000001000000}" name="NÚMERO O.C" dataDxfId="77"/>
    <tableColumn id="2" xr3:uid="{00000000-0010-0000-0300-000002000000}" name="FORNECEDOR"/>
    <tableColumn id="3" xr3:uid="{00000000-0010-0000-0300-000003000000}" name="OP/OS"/>
    <tableColumn id="4" xr3:uid="{00000000-0010-0000-0300-000004000000}" name="DATA COMPRA" dataDxfId="76"/>
    <tableColumn id="5" xr3:uid="{00000000-0010-0000-0300-000005000000}" name="PREVISÃO CHEGADA" dataDxfId="75"/>
    <tableColumn id="6" xr3:uid="{00000000-0010-0000-0300-000006000000}" name="COND. PGT." dataDxfId="74"/>
    <tableColumn id="8" xr3:uid="{00000000-0010-0000-0300-000008000000}" name="VALOR " dataDxfId="73"/>
    <tableColumn id="10" xr3:uid="{00000000-0010-0000-0300-00000A000000}" name="CATEGORIA"/>
    <tableColumn id="11" xr3:uid="{00000000-0010-0000-0300-00000B000000}" name="OBSERVAÇÃO"/>
    <tableColumn id="12" xr3:uid="{00000000-0010-0000-0300-00000C000000}" name="MÊS COMPRA" dataDxfId="72">
      <calculatedColumnFormula>IF(AND(D5&gt;=CALENDARIO!$B$2,D5&lt;=CALENDARIO!$C$2),"JANEIRO",IF(AND(D5&gt;=CALENDARIO!$B$3,D5&lt;=CALENDARIO!$C$3),"FEVEREIRO",IF(AND(D5&gt;=CALENDARIO!$B$4,D5&lt;=CALENDARIO!$C$4),"MARÇO",IF(AND(D5&gt;=CALENDARIO!$B$5,D5&lt;=CALENDARIO!$C$5),"ABRIL",IF(AND(D5&gt;=CALENDARIO!$B$6,D5&lt;=CALENDARIO!$C$6),"MAIO",IF(AND(D5&gt;=CALENDARIO!$B$7,D5&lt;=CALENDARIO!$C$7),"JUNHO",IF(AND(D5&gt;=CALENDARIO!$B$8,D5&lt;=CALENDARIO!$C$8),"JULHO",IF(AND(D5&gt;=CALENDARIO!$B$9,D5&lt;=CALENDARIO!$C$9),"AGOSTO",IF(AND(D5&gt;=CALENDARIO!$B$10,D5&lt;=CALENDARIO!$C$10),"SETEMBRO",IF(AND(D5&gt;=CALENDARIO!$B$11,D5&lt;=CALENDARIO!$C$11),"OUTUBRO",IF(AND(D5&gt;=CALENDARIO!$B$12,D5&lt;=CALENDARIO!$C$12),"NOVEMBRO",IF(AND(D5&gt;=CALENDARIO!$B$13,D5&lt;=CALENDARIO!$C$13),"DEZEMBRO","--"))))))))))))</calculatedColumnFormula>
    </tableColumn>
    <tableColumn id="13" xr3:uid="{00000000-0010-0000-0300-00000D000000}" name="ANO COMPRA" dataDxfId="71">
      <calculatedColumnFormula>YEAR(LANC_COMPRA[[#This Row],[DATA COMPRA]])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LANC_FAT" displayName="LANC_FAT" ref="A4:M9" totalsRowShown="0" headerRowDxfId="70">
  <autoFilter ref="A4:M9" xr:uid="{00000000-0009-0000-0100-000005000000}"/>
  <sortState xmlns:xlrd2="http://schemas.microsoft.com/office/spreadsheetml/2017/richdata2" ref="A5:N2670">
    <sortCondition ref="H4:H2670"/>
  </sortState>
  <tableColumns count="13">
    <tableColumn id="1" xr3:uid="{00000000-0010-0000-0400-000001000000}" name="OP/OS" dataDxfId="69"/>
    <tableColumn id="2" xr3:uid="{00000000-0010-0000-0400-000002000000}" name="NÚMERO NF" dataDxfId="68"/>
    <tableColumn id="3" xr3:uid="{00000000-0010-0000-0400-000003000000}" name="CLIENTE INTERNO" dataDxfId="67">
      <calculatedColumnFormula>VLOOKUP(LANC_FAT[[#This Row],[OP/OS]],LAN_OP[[OP/OS]:[COORDENADOR DO PROJETO]],4,0)</calculatedColumnFormula>
    </tableColumn>
    <tableColumn id="4" xr3:uid="{00000000-0010-0000-0400-000004000000}" name="CLIENTE" dataDxfId="66">
      <calculatedColumnFormula>VLOOKUP(LANC_FAT[[#This Row],[OP/OS]],LAN_OP[[OP/OS]:[COORDENADOR DO PROJETO]],5,0)</calculatedColumnFormula>
    </tableColumn>
    <tableColumn id="5" xr3:uid="{00000000-0010-0000-0400-000005000000}" name="VENDEDOR" dataDxfId="65">
      <calculatedColumnFormula>VLOOKUP(LANC_FAT[[#This Row],[OP/OS]],LAN_OP[[OP/OS]:[COORDENADOR DO PROJETO]],9,0)</calculatedColumnFormula>
    </tableColumn>
    <tableColumn id="14" xr3:uid="{00000000-0010-0000-0400-00000E000000}" name="NATUREZA"/>
    <tableColumn id="7" xr3:uid="{00000000-0010-0000-0400-000007000000}" name="CÓD. PRODUTO" dataDxfId="64"/>
    <tableColumn id="8" xr3:uid="{00000000-0010-0000-0400-000008000000}" name="DATA EMISSÃO" dataDxfId="63"/>
    <tableColumn id="9" xr3:uid="{00000000-0010-0000-0400-000009000000}" name="VALOR DA NF COM IMPOSTO" dataDxfId="62">
      <calculatedColumnFormula>VLOOKUP(LANC_FAT[[#This Row],[OP/OS]],LAN_OP[[OP/OS]:[COORDENADOR DO PROJETO]],10,0)</calculatedColumnFormula>
    </tableColumn>
    <tableColumn id="10" xr3:uid="{00000000-0010-0000-0400-00000A000000}" name="OBSERVAÇÃO"/>
    <tableColumn id="6" xr3:uid="{00000000-0010-0000-0400-000006000000}" name="TIPO"/>
    <tableColumn id="12" xr3:uid="{00000000-0010-0000-0400-00000C000000}" name="MÊS FATURAMENTO" dataDxfId="61">
      <calculatedColumnFormula>IF(AND(H5&gt;=CALENDARIO!$B$2,H5&lt;=CALENDARIO!$C$2),"JANEIRO",IF(AND(H5&gt;=CALENDARIO!$B$3,H5&lt;=CALENDARIO!$C$3),"FEVEREIRO",IF(AND(H5&gt;=CALENDARIO!$B$4,H5&lt;=CALENDARIO!$C$4),"MARÇO",IF(AND(H5&gt;=CALENDARIO!$B$5,H5&lt;=CALENDARIO!$C$5),"ABRIL",IF(AND(H5&gt;=CALENDARIO!$B$6,H5&lt;=CALENDARIO!$C$6),"MAIO",IF(AND(H5&gt;=CALENDARIO!$B$7,H5&lt;=CALENDARIO!$C$7),"JUNHO",IF(AND(H5&gt;=CALENDARIO!$B$8,H5&lt;=CALENDARIO!$C$8),"JULHO",IF(AND(H5&gt;=CALENDARIO!$B$9,H5&lt;=CALENDARIO!$C$9),"AGOSTO",IF(AND(H5&gt;=CALENDARIO!$B$10,H5&lt;=CALENDARIO!$C$10),"SETEMBRO",IF(AND(H5&gt;=CALENDARIO!$B$11,H5&lt;=CALENDARIO!$C$11),"OUTUBRO",IF(AND(H5&gt;=CALENDARIO!$B$12,H5&lt;=CALENDARIO!$C$12),"NOVEMBRO",IF(AND(H5&gt;=CALENDARIO!$B$13,H5&lt;=CALENDARIO!$C$13),"DEZEMBRO","--"))))))))))))</calculatedColumnFormula>
    </tableColumn>
    <tableColumn id="13" xr3:uid="{00000000-0010-0000-0400-00000D000000}" name="ANO FATURAMENTO" dataDxfId="60">
      <calculatedColumnFormula>YEAR(LANC_FAT[[#This Row],[DATA EMISSÃO]])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LANC_HORAS" displayName="LANC_HORAS" ref="A4:Z6" totalsRowShown="0" headerRowDxfId="59" dataDxfId="58" tableBorderDxfId="57">
  <autoFilter ref="A4:Z6" xr:uid="{00000000-0009-0000-0100-000006000000}"/>
  <tableColumns count="26">
    <tableColumn id="1" xr3:uid="{00000000-0010-0000-0500-000001000000}" name="OP/OS"/>
    <tableColumn id="2" xr3:uid="{00000000-0010-0000-0500-000002000000}" name="DATA" dataDxfId="56"/>
    <tableColumn id="5" xr3:uid="{00000000-0010-0000-0500-000005000000}" name="TIPO"/>
    <tableColumn id="6" xr3:uid="{00000000-0010-0000-0500-000006000000}" name="FASE"/>
    <tableColumn id="7" xr3:uid="{00000000-0010-0000-0500-000007000000}" name="FUNCIONARIO"/>
    <tableColumn id="8" xr3:uid="{00000000-0010-0000-0500-000008000000}" name="ENT. MANHA" dataDxfId="55"/>
    <tableColumn id="9" xr3:uid="{00000000-0010-0000-0500-000009000000}" name="SAIDA MANHA" dataDxfId="54"/>
    <tableColumn id="10" xr3:uid="{00000000-0010-0000-0500-00000A000000}" name="ENT. TARDE" dataDxfId="53"/>
    <tableColumn id="11" xr3:uid="{00000000-0010-0000-0500-00000B000000}" name="SAIDA TARDE" dataDxfId="52"/>
    <tableColumn id="12" xr3:uid="{00000000-0010-0000-0500-00000C000000}" name="TOTAL H.N" dataDxfId="51">
      <calculatedColumnFormula>IFERROR((IF(LANC_HORAS[[#This Row],[TIPO]]="NORMAL",(LANC_HORAS[[#This Row],[SAIDA MANHA]]-LANC_HORAS[[#This Row],[ENT. MANHA]])+LANC_HORAS[[#This Row],[SAIDA TARDE]]-LANC_HORAS[[#This Row],[ENT. TARDE]],"")),"")</calculatedColumnFormula>
    </tableColumn>
    <tableColumn id="13" xr3:uid="{00000000-0010-0000-0500-00000D000000}" name="TOTAL H.E" dataDxfId="50">
      <calculatedColumnFormula>(IF(LANC_HORAS[[#This Row],[TIPO]]="HE_60%",(LANC_HORAS[[#This Row],[SAIDA MANHA]]-LANC_HORAS[[#This Row],[ENT. MANHA]])+LANC_HORAS[[#This Row],[SAIDA TARDE]]-LANC_HORAS[[#This Row],[ENT. TARDE]],(IF(LANC_HORAS[[#This Row],[TIPO]]="HE_75%",(LANC_HORAS[[#This Row],[SAIDA MANHA]]-LANC_HORAS[[#This Row],[ENT. MANHA]])+LANC_HORAS[[#This Row],[SAIDA TARDE]]-LANC_HORAS[[#This Row],[ENT. TARDE]],(IF(LANC_HORAS[[#This Row],[TIPO]]="HE_100%",(LANC_HORAS[[#This Row],[SAIDA MANHA]]-LANC_HORAS[[#This Row],[ENT. MANHA]])+LANC_HORAS[[#This Row],[SAIDA TARDE]]-LANC_HORAS[[#This Row],[ENT. TARDE]],""))))))</calculatedColumnFormula>
    </tableColumn>
    <tableColumn id="14" xr3:uid="{00000000-0010-0000-0500-00000E000000}" name="OBSERVAÇÕES"/>
    <tableColumn id="15" xr3:uid="{00000000-0010-0000-0500-00000F000000}" name="HORAS TR.MANHA" dataDxfId="49">
      <calculatedColumnFormula>LANC_HORAS[[#This Row],[SAIDA MANHA]]-LANC_HORAS[[#This Row],[ENT. MANHA]]</calculatedColumnFormula>
    </tableColumn>
    <tableColumn id="16" xr3:uid="{00000000-0010-0000-0500-000010000000}" name="HORAS TR.TARDE" dataDxfId="48">
      <calculatedColumnFormula>LANC_HORAS[[#This Row],[SAIDA TARDE]]-LANC_HORAS[[#This Row],[ENT. TARDE]]</calculatedColumnFormula>
    </tableColumn>
    <tableColumn id="17" xr3:uid="{00000000-0010-0000-0500-000011000000}" name="VALOR HXH NORMAL" dataDxfId="47">
      <calculatedColumnFormula>VLOOKUP(LANC_HORAS[[#This Row],[FUNCIONARIO]],VALORES_HXH!$A$1:$E$31,2,0)</calculatedColumnFormula>
    </tableColumn>
    <tableColumn id="18" xr3:uid="{00000000-0010-0000-0500-000012000000}" name="VALOR HXH E_60%" dataDxfId="46">
      <calculatedColumnFormula>VLOOKUP(LANC_HORAS[[#This Row],[FUNCIONARIO]],VALORES_HXH!$A$1:$E$31,3,0)</calculatedColumnFormula>
    </tableColumn>
    <tableColumn id="19" xr3:uid="{00000000-0010-0000-0500-000013000000}" name="VALOR HXH E_75%" dataDxfId="45">
      <calculatedColumnFormula>VLOOKUP(LANC_HORAS[[#This Row],[FUNCIONARIO]],VALORES_HXH!$A$1:$E$31,4,0)</calculatedColumnFormula>
    </tableColumn>
    <tableColumn id="20" xr3:uid="{00000000-0010-0000-0500-000014000000}" name="VALOR HXH E_100%" dataDxfId="44">
      <calculatedColumnFormula>VLOOKUP(LANC_HORAS[[#This Row],[FUNCIONARIO]],VALORES_HXH!$A$1:$E$31,5,0)</calculatedColumnFormula>
    </tableColumn>
    <tableColumn id="21" xr3:uid="{00000000-0010-0000-0500-000015000000}" name="VALOR TOTAL NORMAL" dataDxfId="43">
      <calculatedColumnFormula>IFERROR(IF(LANC_HORAS[[#This Row],[TIPO]]=VALORES_HXH!$G$1,LANC_HORAS[[#This Row],[VALOR HXH NORMAL]]*LANC_HORAS[[#This Row],[TOTAL H.N]],"")*24,"0")</calculatedColumnFormula>
    </tableColumn>
    <tableColumn id="22" xr3:uid="{00000000-0010-0000-0500-000016000000}" name="VALOR TOTAL60%" dataDxfId="42">
      <calculatedColumnFormula>IFERROR(IF(LANC_HORAS[[#This Row],[TIPO]]=VALORES_HXH!$G$2,LANC_HORAS[[#This Row],[TOTAL H.E]]*LANC_HORAS[[#This Row],[VALOR HXH E_60%]],"")*24,"0")</calculatedColumnFormula>
    </tableColumn>
    <tableColumn id="23" xr3:uid="{00000000-0010-0000-0500-000017000000}" name="VALOR TOTAL75%" dataDxfId="41">
      <calculatedColumnFormula>IFERROR(IF(LANC_HORAS[[#This Row],[TIPO]]=VALORES_HXH!$G$3,LANC_HORAS[[#This Row],[TOTAL H.E]]*LANC_HORAS[[#This Row],[VALOR HXH E_75%]],"")*24,"0")</calculatedColumnFormula>
    </tableColumn>
    <tableColumn id="24" xr3:uid="{00000000-0010-0000-0500-000018000000}" name="VALOR TOTAL100%" dataDxfId="40">
      <calculatedColumnFormula>IFERROR(IF(LANC_HORAS[[#This Row],[TIPO]]=VALORES_HXH!$G$4,LANC_HORAS[[#This Row],[TOTAL H.E]]*LANC_HORAS[[#This Row],[VALOR HXH E_100%]],"")*24,"0")</calculatedColumnFormula>
    </tableColumn>
    <tableColumn id="25" xr3:uid="{00000000-0010-0000-0500-000019000000}" name="TOTAL GERAL NORMAL" dataDxfId="39">
      <calculatedColumnFormula>IFERROR(LANC_HORAS[[#This Row],[VALOR TOTAL NORMAL]],"0")</calculatedColumnFormula>
    </tableColumn>
    <tableColumn id="26" xr3:uid="{00000000-0010-0000-0500-00001A000000}" name="TOTAL GERAL EXTRAS" dataDxfId="38">
      <calculatedColumnFormula>LANC_HORAS[[#This Row],[VALOR TOTAL60%]]+LANC_HORAS[[#This Row],[VALOR TOTAL75%]]+LANC_HORAS[[#This Row],[VALOR TOTAL100%]]</calculatedColumnFormula>
    </tableColumn>
    <tableColumn id="27" xr3:uid="{00000000-0010-0000-0500-00001B000000}" name="TOTAL GERAL " dataDxfId="37">
      <calculatedColumnFormula>LANC_HORAS[[#This Row],[TOTAL GERAL NORMAL]]+LANC_HORAS[[#This Row],[TOTAL GERAL EXTRAS]]</calculatedColumnFormula>
    </tableColumn>
    <tableColumn id="28" xr3:uid="{00000000-0010-0000-0500-00001C000000}" name="MÊS" dataDxfId="36">
      <calculatedColumnFormula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LANC_DESPESAS" displayName="LANC_DESPESAS" ref="A4:L9" totalsRowShown="0">
  <autoFilter ref="A4:L9" xr:uid="{00000000-0009-0000-0100-000008000000}"/>
  <tableColumns count="12">
    <tableColumn id="1" xr3:uid="{00000000-0010-0000-0600-000001000000}" name="OS/OP"/>
    <tableColumn id="2" xr3:uid="{00000000-0010-0000-0600-000002000000}" name="DATA" dataDxfId="35"/>
    <tableColumn id="3" xr3:uid="{00000000-0010-0000-0600-000003000000}" name="FUNCIONARIO"/>
    <tableColumn id="4" xr3:uid="{00000000-0010-0000-0600-000004000000}" name="FORNECEDOR"/>
    <tableColumn id="5" xr3:uid="{00000000-0010-0000-0600-000005000000}" name="CLIENTE"/>
    <tableColumn id="6" xr3:uid="{00000000-0010-0000-0600-000006000000}" name="CLASSIFICAÇÃO"/>
    <tableColumn id="7" xr3:uid="{00000000-0010-0000-0600-000007000000}" name="VALOR R$"/>
    <tableColumn id="8" xr3:uid="{00000000-0010-0000-0600-000008000000}" name="OBSERVAÇÕES"/>
    <tableColumn id="9" xr3:uid="{00000000-0010-0000-0600-000009000000}" name="REEMBOLSAR?"/>
    <tableColumn id="10" xr3:uid="{00000000-0010-0000-0600-00000A000000}" name="STATUS REEMBOLSO"/>
    <tableColumn id="11" xr3:uid="{00000000-0010-0000-0600-00000B000000}" name="MÊS">
      <calculatedColumnFormula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calculatedColumnFormula>
    </tableColumn>
    <tableColumn id="12" xr3:uid="{00000000-0010-0000-0600-00000C000000}" name="ANO">
      <calculatedColumnFormula>YEAR(LANC_DESPESAS[[#This Row],[DATA]])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LANC_DESLOC" displayName="LANC_DESLOC" ref="A4:L7" totalsRowShown="0">
  <autoFilter ref="A4:L7" xr:uid="{00000000-0009-0000-0100-00000A000000}"/>
  <tableColumns count="12">
    <tableColumn id="1" xr3:uid="{00000000-0010-0000-0700-000001000000}" name="OS/OP"/>
    <tableColumn id="2" xr3:uid="{00000000-0010-0000-0700-000002000000}" name="DATA"/>
    <tableColumn id="3" xr3:uid="{00000000-0010-0000-0700-000003000000}" name="FUNCIONARIO"/>
    <tableColumn id="4" xr3:uid="{00000000-0010-0000-0700-000004000000}" name="CARRO"/>
    <tableColumn id="5" xr3:uid="{00000000-0010-0000-0700-000005000000}" name="CLIENTE"/>
    <tableColumn id="6" xr3:uid="{00000000-0010-0000-0700-000006000000}" name="KM RODADOS"/>
    <tableColumn id="7" xr3:uid="{00000000-0010-0000-0700-000007000000}" name="TAXA"/>
    <tableColumn id="8" xr3:uid="{00000000-0010-0000-0700-000008000000}" name="VALOR R$"/>
    <tableColumn id="9" xr3:uid="{00000000-0010-0000-0700-000009000000}" name="OBSERVAÇÕES"/>
    <tableColumn id="10" xr3:uid="{00000000-0010-0000-0700-00000A000000}" name="IMPRIMIR?"/>
    <tableColumn id="11" xr3:uid="{00000000-0010-0000-0700-00000B000000}" name="MÊS">
      <calculatedColumnFormula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calculatedColumnFormula>
    </tableColumn>
    <tableColumn id="12" xr3:uid="{00000000-0010-0000-0700-00000C000000}" name="ANO">
      <calculatedColumnFormula>YEAR(LANC_DESLOC[[#This Row],[DATA]])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LAN_ORCAMENTO" displayName="LAN_ORCAMENTO" ref="A4:M10" totalsRowShown="0" headerRowDxfId="34">
  <tableColumns count="13">
    <tableColumn id="1" xr3:uid="{00000000-0010-0000-0800-000001000000}" name="OP/OS"/>
    <tableColumn id="3" xr3:uid="{00000000-0010-0000-0800-000003000000}" name="CLIENTE INTERNO"/>
    <tableColumn id="4" xr3:uid="{00000000-0010-0000-0800-000004000000}" name="CLIENTE EXTERNO"/>
    <tableColumn id="6" xr3:uid="{00000000-0010-0000-0800-000006000000}" name="DESCRIÇÃO REDUZIDA"/>
    <tableColumn id="7" xr3:uid="{00000000-0010-0000-0800-000007000000}" name="VENDEDOR" dataDxfId="33"/>
    <tableColumn id="8" xr3:uid="{00000000-0010-0000-0800-000008000000}" name="VALOR ORÇADO" dataDxfId="32"/>
    <tableColumn id="13" xr3:uid="{00000000-0010-0000-0800-00000D000000}" name="COORDENADOR DO PROJETO" dataDxfId="31"/>
    <tableColumn id="9" xr3:uid="{00000000-0010-0000-0800-000009000000}" name="DATA ENVIO" dataDxfId="30"/>
    <tableColumn id="10" xr3:uid="{00000000-0010-0000-0800-00000A000000}" name="STATUS"/>
    <tableColumn id="12" xr3:uid="{00000000-0010-0000-0800-00000C000000}" name="OBSERVAÇÕES" dataDxfId="29"/>
    <tableColumn id="5" xr3:uid="{00000000-0010-0000-0800-000005000000}" name="TIPO" dataDxfId="28"/>
    <tableColumn id="16" xr3:uid="{00000000-0010-0000-0800-000010000000}" name="MÊS" dataDxfId="27">
      <calculatedColumnFormula>IF(AND(H5&gt;=CALENDARIO!$B$2,H5&lt;=CALENDARIO!$C$2),"JANEIRO",IF(AND(H5&gt;=CALENDARIO!$B$3,H5&lt;=CALENDARIO!$C$3),"FEVEREIRO",IF(AND(H5&gt;=CALENDARIO!$B$4,H5&lt;=CALENDARIO!$C$4),"MARÇO",IF(AND(H5&gt;=CALENDARIO!$B$5,H5&lt;=CALENDARIO!$C$5),"ABRIL",IF(AND(H5&gt;=CALENDARIO!$B$6,H5&lt;=CALENDARIO!$C$6),"MAIO",IF(AND(H5&gt;=CALENDARIO!$B$7,H5&lt;=CALENDARIO!$C$7),"JUNHO",IF(AND(H5&gt;=CALENDARIO!$B$8,H5&lt;=CALENDARIO!$C$8),"JULHO",IF(AND(H5&gt;=CALENDARIO!$B$9,H5&lt;=CALENDARIO!$C$9),"AGOSTO",IF(AND(H5&gt;=CALENDARIO!$B$10,H5&lt;=CALENDARIO!$C$10),"SETEMBRO",IF(AND(H5&gt;=CALENDARIO!$B$11,H5&lt;=CALENDARIO!$C$11),"OUTUBRO",IF(AND(H5&gt;=CALENDARIO!$B$12,H5&lt;=CALENDARIO!$C$12),"NOVEMBRO",IF(AND(H5&gt;=CALENDARIO!$B$13,H5&lt;=CALENDARIO!$C$13),"DEZEMBRO","FORA DO CALENDARIO"))))))))))))</calculatedColumnFormula>
    </tableColumn>
    <tableColumn id="17" xr3:uid="{00000000-0010-0000-0800-000011000000}" name="ANO" dataDxfId="26">
      <calculatedColumnFormula>YEAR(LAN_ORCAMENTO[[#This Row],[DATA ENVIO]])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29" displayName="Tabela29" ref="A1:C13" totalsRowShown="0" headerRowDxfId="14" dataDxfId="12" headerRowBorderDxfId="13" tableBorderDxfId="11" totalsRowBorderDxfId="10">
  <tableColumns count="3">
    <tableColumn id="1" xr3:uid="{00000000-0010-0000-0900-000001000000}" name="MÊS" dataDxfId="9"/>
    <tableColumn id="2" xr3:uid="{00000000-0010-0000-0900-000002000000}" name="INICIO" dataDxfId="8">
      <calculatedColumnFormula>IF(AND($H$6=$A$16),A17,IF(AND($H$6=$C$16),C17,IF(AND($H$6=$E$16),E17,IF(AND($H$6=$G$16),G17,IF(AND($H$6=$I$16),I17,IF(AND($H$6=$K$16),K17,IF(AND($H$6=$M$16),M17,"FORA DO CALENDARIO")))))))</calculatedColumnFormula>
    </tableColumn>
    <tableColumn id="3" xr3:uid="{00000000-0010-0000-0900-000003000000}" name="FIM" dataDxfId="7">
      <calculatedColumnFormula>IF(AND($H$6=$A$16),B17,IF(AND($H$6=$C$16),D17,IF(AND($H$6=$E$16),F17,IF(AND($H$6=$G$16),H17,IF(AND($H$6=$I$16),J17,IF(AND($H$6=$K$16),L17,IF(AND($H$6=$M$16),N17,"FORA DO CALENDARIO")))))))</calculatedColumnFormula>
    </tableColumn>
  </tableColumns>
  <tableStyleInfo name="TableStyleLight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A000000}" name="Tabela1211" displayName="Tabela1211" ref="A1:E31" totalsRowShown="0">
  <autoFilter ref="A1:E31" xr:uid="{00000000-0009-0000-0100-000001000000}"/>
  <tableColumns count="5">
    <tableColumn id="3" xr3:uid="{00000000-0010-0000-0A00-000003000000}" name="CONCATENAR" dataDxfId="6"/>
    <tableColumn id="4" xr3:uid="{00000000-0010-0000-0A00-000004000000}" name="CUSTO HORA"/>
    <tableColumn id="7" xr3:uid="{00000000-0010-0000-0A00-000007000000}" name="60%">
      <calculatedColumnFormula>Tabela1211[[#This Row],[CUSTO HORA]]*1.6</calculatedColumnFormula>
    </tableColumn>
    <tableColumn id="8" xr3:uid="{00000000-0010-0000-0A00-000008000000}" name="75%">
      <calculatedColumnFormula>Tabela1211[[#This Row],[CUSTO HORA]]*1.75</calculatedColumnFormula>
    </tableColumn>
    <tableColumn id="9" xr3:uid="{00000000-0010-0000-0A00-000009000000}" name="100%">
      <calculatedColumnFormula>Tabela1211[[#This Row],[CUSTO HORA]]*2</calculatedColumnFormula>
    </tableColumn>
  </tableColumns>
  <tableStyleInfo name="Estilo de Tabela 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ela9" displayName="Tabela9" ref="I1:N10" totalsRowShown="0">
  <autoFilter ref="I1:N10" xr:uid="{00000000-0009-0000-0100-000002000000}"/>
  <sortState xmlns:xlrd2="http://schemas.microsoft.com/office/spreadsheetml/2017/richdata2" ref="I3:M9">
    <sortCondition ref="M2"/>
  </sortState>
  <tableColumns count="6">
    <tableColumn id="1" xr3:uid="{00000000-0010-0000-0B00-000001000000}" name="EMPRESAS DO GRUPO"/>
    <tableColumn id="2" xr3:uid="{00000000-0010-0000-0B00-000002000000}" name="TIPO DE MOVIMENTAÇÃO"/>
    <tableColumn id="3" xr3:uid="{00000000-0010-0000-0B00-000003000000}" name="STATUS"/>
    <tableColumn id="4" xr3:uid="{00000000-0010-0000-0B00-000004000000}" name="TIPO DE PROJETO"/>
    <tableColumn id="5" xr3:uid="{00000000-0010-0000-0B00-000005000000}" name="Colunas1"/>
    <tableColumn id="6" xr3:uid="{00000000-0010-0000-0B00-000006000000}" name="Colunas2"/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microsoft.com/office/2007/relationships/slicer" Target="../slicers/slicer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3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3" Type="http://schemas.openxmlformats.org/officeDocument/2006/relationships/ctrlProp" Target="../ctrlProps/ctrlProp38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3" Type="http://schemas.openxmlformats.org/officeDocument/2006/relationships/ctrlProp" Target="../ctrlProps/ctrlProp50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5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5" Type="http://schemas.openxmlformats.org/officeDocument/2006/relationships/ctrlProp" Target="../ctrlProps/ctrlProp64.xml"/><Relationship Id="rId15" Type="http://schemas.openxmlformats.org/officeDocument/2006/relationships/table" Target="../tables/table6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13" Type="http://schemas.openxmlformats.org/officeDocument/2006/relationships/ctrlProp" Target="../ctrlProps/ctrlProp83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7.xml"/><Relationship Id="rId12" Type="http://schemas.openxmlformats.org/officeDocument/2006/relationships/ctrlProp" Target="../ctrlProps/ctrlProp82.xml"/><Relationship Id="rId2" Type="http://schemas.openxmlformats.org/officeDocument/2006/relationships/drawing" Target="../drawings/drawing7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5" Type="http://schemas.openxmlformats.org/officeDocument/2006/relationships/ctrlProp" Target="../ctrlProps/ctrlProp8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4" Type="http://schemas.openxmlformats.org/officeDocument/2006/relationships/ctrlProp" Target="../ctrlProps/ctrlProp8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3" Type="http://schemas.openxmlformats.org/officeDocument/2006/relationships/ctrlProp" Target="../ctrlProps/ctrlProp86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5" Type="http://schemas.openxmlformats.org/officeDocument/2006/relationships/ctrlProp" Target="../ctrlProps/ctrlProp88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93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2" Type="http://schemas.openxmlformats.org/officeDocument/2006/relationships/drawing" Target="../drawings/drawing9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4.xml"/><Relationship Id="rId13" Type="http://schemas.openxmlformats.org/officeDocument/2006/relationships/ctrlProp" Target="../ctrlProps/ctrlProp11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13.xml"/><Relationship Id="rId12" Type="http://schemas.openxmlformats.org/officeDocument/2006/relationships/ctrlProp" Target="../ctrlProps/ctrlProp118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12.xml"/><Relationship Id="rId11" Type="http://schemas.openxmlformats.org/officeDocument/2006/relationships/ctrlProp" Target="../ctrlProps/ctrlProp117.xml"/><Relationship Id="rId5" Type="http://schemas.openxmlformats.org/officeDocument/2006/relationships/ctrlProp" Target="../ctrlProps/ctrlProp111.xml"/><Relationship Id="rId15" Type="http://schemas.microsoft.com/office/2007/relationships/slicer" Target="../slicers/slicer2.xml"/><Relationship Id="rId10" Type="http://schemas.openxmlformats.org/officeDocument/2006/relationships/ctrlProp" Target="../ctrlProps/ctrlProp116.xml"/><Relationship Id="rId4" Type="http://schemas.openxmlformats.org/officeDocument/2006/relationships/ctrlProp" Target="../ctrlProps/ctrlProp110.xml"/><Relationship Id="rId9" Type="http://schemas.openxmlformats.org/officeDocument/2006/relationships/ctrlProp" Target="../ctrlProps/ctrlProp115.xml"/><Relationship Id="rId14" Type="http://schemas.openxmlformats.org/officeDocument/2006/relationships/ctrlProp" Target="../ctrlProps/ctrlProp12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5.xml"/><Relationship Id="rId13" Type="http://schemas.openxmlformats.org/officeDocument/2006/relationships/ctrlProp" Target="../ctrlProps/ctrlProp13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24.xml"/><Relationship Id="rId12" Type="http://schemas.openxmlformats.org/officeDocument/2006/relationships/ctrlProp" Target="../ctrlProps/ctrlProp129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23.xml"/><Relationship Id="rId11" Type="http://schemas.openxmlformats.org/officeDocument/2006/relationships/ctrlProp" Target="../ctrlProps/ctrlProp128.xml"/><Relationship Id="rId5" Type="http://schemas.openxmlformats.org/officeDocument/2006/relationships/ctrlProp" Target="../ctrlProps/ctrlProp122.xml"/><Relationship Id="rId15" Type="http://schemas.microsoft.com/office/2007/relationships/slicer" Target="../slicers/slicer3.xml"/><Relationship Id="rId10" Type="http://schemas.openxmlformats.org/officeDocument/2006/relationships/ctrlProp" Target="../ctrlProps/ctrlProp127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4" Type="http://schemas.openxmlformats.org/officeDocument/2006/relationships/ctrlProp" Target="../ctrlProps/ctrlProp13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13" Type="http://schemas.openxmlformats.org/officeDocument/2006/relationships/ctrlProp" Target="../ctrlProps/ctrlProp14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5" Type="http://schemas.openxmlformats.org/officeDocument/2006/relationships/ctrlProp" Target="../ctrlProps/ctrlProp133.xml"/><Relationship Id="rId15" Type="http://schemas.microsoft.com/office/2007/relationships/slicer" Target="../slicers/slicer4.xml"/><Relationship Id="rId10" Type="http://schemas.openxmlformats.org/officeDocument/2006/relationships/ctrlProp" Target="../ctrlProps/ctrlProp138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7.xml"/><Relationship Id="rId13" Type="http://schemas.openxmlformats.org/officeDocument/2006/relationships/ctrlProp" Target="../ctrlProps/ctrlProp152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46.xml"/><Relationship Id="rId12" Type="http://schemas.openxmlformats.org/officeDocument/2006/relationships/ctrlProp" Target="../ctrlProps/ctrlProp151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6" Type="http://schemas.openxmlformats.org/officeDocument/2006/relationships/ctrlProp" Target="../ctrlProps/ctrlProp145.xml"/><Relationship Id="rId11" Type="http://schemas.openxmlformats.org/officeDocument/2006/relationships/ctrlProp" Target="../ctrlProps/ctrlProp150.xml"/><Relationship Id="rId5" Type="http://schemas.openxmlformats.org/officeDocument/2006/relationships/ctrlProp" Target="../ctrlProps/ctrlProp144.xml"/><Relationship Id="rId15" Type="http://schemas.microsoft.com/office/2007/relationships/slicer" Target="../slicers/slicer5.xml"/><Relationship Id="rId10" Type="http://schemas.openxmlformats.org/officeDocument/2006/relationships/ctrlProp" Target="../ctrlProps/ctrlProp149.xml"/><Relationship Id="rId4" Type="http://schemas.openxmlformats.org/officeDocument/2006/relationships/ctrlProp" Target="../ctrlProps/ctrlProp143.xml"/><Relationship Id="rId9" Type="http://schemas.openxmlformats.org/officeDocument/2006/relationships/ctrlProp" Target="../ctrlProps/ctrlProp148.xml"/><Relationship Id="rId14" Type="http://schemas.openxmlformats.org/officeDocument/2006/relationships/ctrlProp" Target="../ctrlProps/ctrlProp15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13" Type="http://schemas.openxmlformats.org/officeDocument/2006/relationships/ctrlProp" Target="../ctrlProps/ctrlProp16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57.xml"/><Relationship Id="rId12" Type="http://schemas.openxmlformats.org/officeDocument/2006/relationships/ctrlProp" Target="../ctrlProps/ctrlProp162.x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5" Type="http://schemas.microsoft.com/office/2007/relationships/slicer" Target="../slicers/slicer6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Relationship Id="rId14" Type="http://schemas.openxmlformats.org/officeDocument/2006/relationships/ctrlProp" Target="../ctrlProps/ctrlProp16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13" Type="http://schemas.openxmlformats.org/officeDocument/2006/relationships/ctrlProp" Target="../ctrlProps/ctrlProp173.xml"/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167.xml"/><Relationship Id="rId12" Type="http://schemas.openxmlformats.org/officeDocument/2006/relationships/ctrlProp" Target="../ctrlProps/ctrlProp172.xml"/><Relationship Id="rId2" Type="http://schemas.openxmlformats.org/officeDocument/2006/relationships/printerSettings" Target="../printerSettings/printerSettings6.bin"/><Relationship Id="rId16" Type="http://schemas.microsoft.com/office/2007/relationships/slicer" Target="../slicers/slicer7.xml"/><Relationship Id="rId1" Type="http://schemas.openxmlformats.org/officeDocument/2006/relationships/pivotTable" Target="../pivotTables/pivotTable6.xml"/><Relationship Id="rId6" Type="http://schemas.openxmlformats.org/officeDocument/2006/relationships/ctrlProp" Target="../ctrlProps/ctrlProp166.xml"/><Relationship Id="rId11" Type="http://schemas.openxmlformats.org/officeDocument/2006/relationships/ctrlProp" Target="../ctrlProps/ctrlProp171.xml"/><Relationship Id="rId5" Type="http://schemas.openxmlformats.org/officeDocument/2006/relationships/ctrlProp" Target="../ctrlProps/ctrlProp165.xml"/><Relationship Id="rId15" Type="http://schemas.openxmlformats.org/officeDocument/2006/relationships/ctrlProp" Target="../ctrlProps/ctrlProp175.xml"/><Relationship Id="rId10" Type="http://schemas.openxmlformats.org/officeDocument/2006/relationships/ctrlProp" Target="../ctrlProps/ctrlProp170.xml"/><Relationship Id="rId4" Type="http://schemas.openxmlformats.org/officeDocument/2006/relationships/vmlDrawing" Target="../drawings/vmlDrawing15.vml"/><Relationship Id="rId9" Type="http://schemas.openxmlformats.org/officeDocument/2006/relationships/ctrlProp" Target="../ctrlProps/ctrlProp169.xml"/><Relationship Id="rId14" Type="http://schemas.openxmlformats.org/officeDocument/2006/relationships/ctrlProp" Target="../ctrlProps/ctrlProp17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drawing" Target="../drawings/drawing16.xml"/><Relationship Id="rId16" Type="http://schemas.microsoft.com/office/2007/relationships/slicer" Target="../slicers/slicer8.xml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5" Type="http://schemas.openxmlformats.org/officeDocument/2006/relationships/ctrlProp" Target="../ctrlProps/ctrlProp189.xml"/><Relationship Id="rId15" Type="http://schemas.microsoft.com/office/2007/relationships/slicer" Target="../slicers/slicer9.xml"/><Relationship Id="rId10" Type="http://schemas.openxmlformats.org/officeDocument/2006/relationships/ctrlProp" Target="../ctrlProps/ctrlProp194.xml"/><Relationship Id="rId4" Type="http://schemas.openxmlformats.org/officeDocument/2006/relationships/ctrlProp" Target="../ctrlProps/ctrlProp188.xml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3.xml"/><Relationship Id="rId13" Type="http://schemas.openxmlformats.org/officeDocument/2006/relationships/ctrlProp" Target="../ctrlProps/ctrlProp208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202.xml"/><Relationship Id="rId12" Type="http://schemas.openxmlformats.org/officeDocument/2006/relationships/ctrlProp" Target="../ctrlProps/ctrlProp207.xml"/><Relationship Id="rId2" Type="http://schemas.openxmlformats.org/officeDocument/2006/relationships/drawing" Target="../drawings/drawing18.xml"/><Relationship Id="rId16" Type="http://schemas.microsoft.com/office/2007/relationships/slicer" Target="../slicers/slicer10.xml"/><Relationship Id="rId1" Type="http://schemas.openxmlformats.org/officeDocument/2006/relationships/pivotTable" Target="../pivotTables/pivotTable9.xml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10" Type="http://schemas.openxmlformats.org/officeDocument/2006/relationships/ctrlProp" Target="../ctrlProps/ctrlProp205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12.xml"/><Relationship Id="rId4" Type="http://schemas.openxmlformats.org/officeDocument/2006/relationships/ctrlProp" Target="../ctrlProps/ctrlProp2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drawing" Target="../drawings/drawing22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Q6"/>
  <sheetViews>
    <sheetView showGridLines="0" showRowColHeaders="0" tabSelected="1" zoomScale="85" zoomScaleNormal="85" workbookViewId="0">
      <selection activeCell="E3" sqref="E3"/>
    </sheetView>
  </sheetViews>
  <sheetFormatPr defaultColWidth="9.109375" defaultRowHeight="14.4" x14ac:dyDescent="0.3"/>
  <cols>
    <col min="1" max="1" width="7.88671875" customWidth="1"/>
    <col min="2" max="2" width="35.44140625" customWidth="1"/>
    <col min="3" max="3" width="19.5546875" customWidth="1"/>
    <col min="4" max="4" width="13.88671875" customWidth="1"/>
    <col min="5" max="5" width="12.6640625" customWidth="1"/>
    <col min="6" max="7" width="15.44140625" customWidth="1"/>
    <col min="8" max="8" width="17.88671875" hidden="1" customWidth="1"/>
    <col min="9" max="9" width="16" hidden="1" customWidth="1"/>
    <col min="10" max="10" width="14" bestFit="1" customWidth="1"/>
    <col min="11" max="11" width="18" customWidth="1"/>
    <col min="12" max="12" width="25.88671875" customWidth="1"/>
    <col min="13" max="14" width="5.5546875" customWidth="1"/>
    <col min="15" max="15" width="10.44140625" bestFit="1" customWidth="1"/>
    <col min="16" max="16" width="21.109375" bestFit="1" customWidth="1"/>
    <col min="17" max="17" width="12.5546875" customWidth="1"/>
    <col min="18" max="19" width="9.109375" customWidth="1"/>
  </cols>
  <sheetData>
    <row r="1" spans="1:17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17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7" ht="22.5" customHeigh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</row>
    <row r="4" spans="1:17" ht="17.25" customHeight="1" x14ac:dyDescent="0.3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164" t="s">
        <v>195</v>
      </c>
      <c r="N4" s="165"/>
      <c r="O4" s="166"/>
      <c r="P4" s="77"/>
      <c r="Q4" s="77"/>
    </row>
    <row r="5" spans="1:17" ht="17.25" customHeight="1" x14ac:dyDescent="0.3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163">
        <v>2022</v>
      </c>
      <c r="N5" s="163"/>
      <c r="O5" s="163"/>
      <c r="P5" s="77"/>
      <c r="Q5" s="77"/>
    </row>
    <row r="6" spans="1:17" ht="6.75" customHeight="1" x14ac:dyDescent="0.3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</row>
  </sheetData>
  <mergeCells count="2">
    <mergeCell ref="M5:O5"/>
    <mergeCell ref="M4:O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autoLine="0" r:id="rId5">
            <anchor moveWithCells="1">
              <from>
                <xdr:col>10</xdr:col>
                <xdr:colOff>533400</xdr:colOff>
                <xdr:row>3</xdr:row>
                <xdr:rowOff>121920</xdr:rowOff>
              </from>
              <to>
                <xdr:col>11</xdr:col>
                <xdr:colOff>1607820</xdr:colOff>
                <xdr:row>5</xdr:row>
                <xdr:rowOff>22860</xdr:rowOff>
              </to>
            </anchor>
          </controlPr>
        </control>
      </mc:Choice>
      <mc:Fallback>
        <control shapeId="26625" r:id="rId4" name="ComboBox1"/>
      </mc:Fallback>
    </mc:AlternateContent>
    <mc:AlternateContent xmlns:mc="http://schemas.openxmlformats.org/markup-compatibility/2006">
      <mc:Choice Requires="x14">
        <control shapeId="26630" r:id="rId6" name="Button 6">
          <controlPr defaultSize="0" print="0" autoFill="0" autoPict="0" macro="[0]!IR_HOME">
            <anchor>
              <from>
                <xdr:col>1</xdr:col>
                <xdr:colOff>685800</xdr:colOff>
                <xdr:row>0</xdr:row>
                <xdr:rowOff>99060</xdr:rowOff>
              </from>
              <to>
                <xdr:col>1</xdr:col>
                <xdr:colOff>1706880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1" r:id="rId7" name="Button 7">
          <controlPr defaultSize="0" print="0" autoFill="0" autoPict="0" macro="[0]!IR_DIN_LAN_FATU">
            <anchor>
              <from>
                <xdr:col>1</xdr:col>
                <xdr:colOff>1775460</xdr:colOff>
                <xdr:row>0</xdr:row>
                <xdr:rowOff>99060</xdr:rowOff>
              </from>
              <to>
                <xdr:col>2</xdr:col>
                <xdr:colOff>373380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2" r:id="rId8" name="Button 8">
          <controlPr defaultSize="0" print="0" autoFill="0" autoPict="0" macro="[0]!IR_DIN_LAN_OP">
            <anchor>
              <from>
                <xdr:col>2</xdr:col>
                <xdr:colOff>441960</xdr:colOff>
                <xdr:row>0</xdr:row>
                <xdr:rowOff>99060</xdr:rowOff>
              </from>
              <to>
                <xdr:col>3</xdr:col>
                <xdr:colOff>160020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3" r:id="rId9" name="Button 9">
          <controlPr defaultSize="0" print="0" autoFill="0" autoPict="0" macro="[0]!IR_DIN_LAN_COMPRA">
            <anchor>
              <from>
                <xdr:col>3</xdr:col>
                <xdr:colOff>228600</xdr:colOff>
                <xdr:row>0</xdr:row>
                <xdr:rowOff>99060</xdr:rowOff>
              </from>
              <to>
                <xdr:col>4</xdr:col>
                <xdr:colOff>335280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4" r:id="rId10" name="Button 10">
          <controlPr defaultSize="0" print="0" autoFill="0" autoPict="0" macro="[0]!IR_DIN_LAN_DESP">
            <anchor>
              <from>
                <xdr:col>4</xdr:col>
                <xdr:colOff>403860</xdr:colOff>
                <xdr:row>0</xdr:row>
                <xdr:rowOff>99060</xdr:rowOff>
              </from>
              <to>
                <xdr:col>5</xdr:col>
                <xdr:colOff>563880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5" r:id="rId11" name="Button 11">
          <controlPr defaultSize="0" print="0" autoFill="0" autoPict="0" macro="[0]!IR_DIN_LAN_DESL">
            <anchor>
              <from>
                <xdr:col>5</xdr:col>
                <xdr:colOff>640080</xdr:colOff>
                <xdr:row>0</xdr:row>
                <xdr:rowOff>99060</xdr:rowOff>
              </from>
              <to>
                <xdr:col>6</xdr:col>
                <xdr:colOff>632460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6" r:id="rId12" name="Button 12">
          <controlPr defaultSize="0" print="0" autoFill="0" autoPict="0" macro="[0]!IR_DIN_LAN_HORAS">
            <anchor>
              <from>
                <xdr:col>6</xdr:col>
                <xdr:colOff>693420</xdr:colOff>
                <xdr:row>0</xdr:row>
                <xdr:rowOff>99060</xdr:rowOff>
              </from>
              <to>
                <xdr:col>9</xdr:col>
                <xdr:colOff>685800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8" r:id="rId13" name="Button 14">
          <controlPr defaultSize="0" print="0" autoFill="0" autoPict="0" macro="[0]!IR_DIN_LAN_FATU_EXTRA">
            <anchor>
              <from>
                <xdr:col>9</xdr:col>
                <xdr:colOff>754380</xdr:colOff>
                <xdr:row>0</xdr:row>
                <xdr:rowOff>99060</xdr:rowOff>
              </from>
              <to>
                <xdr:col>10</xdr:col>
                <xdr:colOff>975360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9" r:id="rId14" name="Button 15">
          <controlPr defaultSize="0" autoFill="0" autoPict="0" macro="[0]!IR_DIN_LAN_ORC">
            <anchor>
              <from>
                <xdr:col>10</xdr:col>
                <xdr:colOff>1021080</xdr:colOff>
                <xdr:row>0</xdr:row>
                <xdr:rowOff>99060</xdr:rowOff>
              </from>
              <to>
                <xdr:col>11</xdr:col>
                <xdr:colOff>982980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40" r:id="rId15" name="Button 16">
          <controlPr defaultSize="0" autoFill="0" autoPict="0" macro="[0]!IR_RESUMO_FAT">
            <anchor>
              <from>
                <xdr:col>11</xdr:col>
                <xdr:colOff>1021080</xdr:colOff>
                <xdr:row>0</xdr:row>
                <xdr:rowOff>83820</xdr:rowOff>
              </from>
              <to>
                <xdr:col>13</xdr:col>
                <xdr:colOff>83820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41" r:id="rId16" name="Button 17">
          <controlPr defaultSize="0" autoFill="0" autoPict="0" macro="[0]!IR_DIN_AP">
            <anchor>
              <from>
                <xdr:col>13</xdr:col>
                <xdr:colOff>137160</xdr:colOff>
                <xdr:row>0</xdr:row>
                <xdr:rowOff>83820</xdr:rowOff>
              </from>
              <to>
                <xdr:col>15</xdr:col>
                <xdr:colOff>236220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44" r:id="rId17" name="Button 20">
          <controlPr defaultSize="0" print="0" autoFill="0" autoPict="0" macro="[0]!IR_CALENDARIO">
            <anchor moveWithCells="1" sizeWithCells="1">
              <from>
                <xdr:col>0</xdr:col>
                <xdr:colOff>83820</xdr:colOff>
                <xdr:row>4</xdr:row>
                <xdr:rowOff>60960</xdr:rowOff>
              </from>
              <to>
                <xdr:col>1</xdr:col>
                <xdr:colOff>556260</xdr:colOff>
                <xdr:row>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45" r:id="rId18" name="Button 21">
          <controlPr defaultSize="0" print="0" autoFill="0" autoPict="0" macro="[0]!ATUALIZAR">
            <anchor>
              <from>
                <xdr:col>1</xdr:col>
                <xdr:colOff>579120</xdr:colOff>
                <xdr:row>4</xdr:row>
                <xdr:rowOff>60960</xdr:rowOff>
              </from>
              <to>
                <xdr:col>1</xdr:col>
                <xdr:colOff>1699260</xdr:colOff>
                <xdr:row>5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47" r:id="rId19" name="Button 23">
          <controlPr defaultSize="0" print="0" autoFill="0" autoPict="0" macro="[0]!Macro1">
            <anchor>
              <from>
                <xdr:col>1</xdr:col>
                <xdr:colOff>1722120</xdr:colOff>
                <xdr:row>4</xdr:row>
                <xdr:rowOff>60960</xdr:rowOff>
              </from>
              <to>
                <xdr:col>2</xdr:col>
                <xdr:colOff>487680</xdr:colOff>
                <xdr:row>5</xdr:row>
                <xdr:rowOff>45720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CALENDARIO!$A$16:$N$16</xm:f>
          </x14:formula1>
          <xm:sqref>M5</xm:sqref>
        </x14:dataValidation>
      </x14:dataValidations>
    </ex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8" tint="0.59999389629810485"/>
  </sheetPr>
  <dimension ref="A1:R41"/>
  <sheetViews>
    <sheetView showGridLines="0" zoomScale="85" zoomScaleNormal="85" workbookViewId="0">
      <selection activeCell="M8" sqref="M8"/>
    </sheetView>
  </sheetViews>
  <sheetFormatPr defaultColWidth="0" defaultRowHeight="14.4" x14ac:dyDescent="0.3"/>
  <cols>
    <col min="1" max="1" width="2.5546875" customWidth="1"/>
    <col min="2" max="2" width="25.109375" customWidth="1"/>
    <col min="3" max="3" width="16.44140625" customWidth="1"/>
    <col min="4" max="4" width="11.6640625" bestFit="1" customWidth="1"/>
    <col min="5" max="5" width="16.44140625" customWidth="1"/>
    <col min="6" max="6" width="9.33203125" customWidth="1"/>
    <col min="7" max="7" width="16.44140625" customWidth="1"/>
    <col min="8" max="8" width="11.109375" bestFit="1" customWidth="1"/>
    <col min="9" max="9" width="16.44140625" customWidth="1"/>
    <col min="10" max="10" width="11.109375" bestFit="1" customWidth="1"/>
    <col min="11" max="11" width="16.44140625" customWidth="1"/>
    <col min="12" max="12" width="10.6640625" bestFit="1" customWidth="1"/>
    <col min="13" max="13" width="16.44140625" customWidth="1"/>
    <col min="14" max="14" width="8.5546875" bestFit="1" customWidth="1"/>
    <col min="15" max="15" width="16.44140625" customWidth="1"/>
    <col min="16" max="16" width="12.109375" bestFit="1" customWidth="1"/>
    <col min="17" max="18" width="9.109375" customWidth="1"/>
    <col min="19" max="16384" width="9.109375" hidden="1"/>
  </cols>
  <sheetData>
    <row r="1" spans="2:17" x14ac:dyDescent="0.3"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88"/>
      <c r="P1" s="89"/>
      <c r="Q1" s="89"/>
    </row>
    <row r="2" spans="2:17" ht="30" customHeight="1" x14ac:dyDescent="0.3"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89"/>
    </row>
    <row r="3" spans="2:17" ht="24" customHeight="1" x14ac:dyDescent="0.3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7"/>
    </row>
    <row r="5" spans="2:17" x14ac:dyDescent="0.3">
      <c r="B5" s="71">
        <f ca="1">TODAY()</f>
        <v>46275</v>
      </c>
      <c r="C5" s="72">
        <f ca="1">MONTH(B5)</f>
        <v>9</v>
      </c>
    </row>
    <row r="6" spans="2:17" ht="34.5" customHeight="1" x14ac:dyDescent="0.3">
      <c r="B6" s="73"/>
      <c r="C6" s="74"/>
      <c r="D6" s="75"/>
      <c r="E6" s="75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76"/>
    </row>
    <row r="7" spans="2:17" x14ac:dyDescent="0.3">
      <c r="B7" s="46" t="s">
        <v>129</v>
      </c>
      <c r="C7" s="169" t="s">
        <v>255</v>
      </c>
      <c r="D7" s="170"/>
      <c r="E7" s="169" t="s">
        <v>256</v>
      </c>
      <c r="F7" s="170"/>
      <c r="G7" s="169" t="s">
        <v>257</v>
      </c>
      <c r="H7" s="170"/>
      <c r="I7" s="169" t="s">
        <v>258</v>
      </c>
      <c r="J7" s="170"/>
      <c r="K7" s="169" t="s">
        <v>259</v>
      </c>
      <c r="L7" s="170"/>
      <c r="M7" s="169" t="s">
        <v>260</v>
      </c>
      <c r="N7" s="170"/>
      <c r="O7" s="167" t="s">
        <v>130</v>
      </c>
      <c r="P7" s="167"/>
    </row>
    <row r="8" spans="2:17" ht="28.8" x14ac:dyDescent="0.3">
      <c r="B8" s="47" t="s">
        <v>78</v>
      </c>
      <c r="C8" s="48" t="s">
        <v>131</v>
      </c>
      <c r="D8" s="48" t="s">
        <v>132</v>
      </c>
      <c r="E8" s="49" t="s">
        <v>133</v>
      </c>
      <c r="F8" s="49" t="s">
        <v>134</v>
      </c>
      <c r="G8" s="48" t="s">
        <v>135</v>
      </c>
      <c r="H8" s="48" t="s">
        <v>136</v>
      </c>
      <c r="I8" s="49" t="s">
        <v>137</v>
      </c>
      <c r="J8" s="49" t="s">
        <v>138</v>
      </c>
      <c r="K8" s="48" t="s">
        <v>139</v>
      </c>
      <c r="L8" s="48" t="s">
        <v>140</v>
      </c>
      <c r="M8" s="49" t="s">
        <v>141</v>
      </c>
      <c r="N8" s="49" t="s">
        <v>142</v>
      </c>
      <c r="O8" s="50" t="s">
        <v>143</v>
      </c>
      <c r="P8" s="51" t="s">
        <v>144</v>
      </c>
    </row>
    <row r="9" spans="2:17" x14ac:dyDescent="0.3">
      <c r="B9" s="52" t="s">
        <v>28</v>
      </c>
      <c r="C9" s="53">
        <f>SUMIFS(LANC_FAT[VALOR DA NF COM IMPOSTO],LANC_FAT[DATA EMISSÃO],"&gt;="&amp;CALENDARIO!B2,LANC_FAT[DATA EMISSÃO],"&lt;="&amp;CALENDARIO!C2,LANC_FAT[CLIENTE INTERNO],"A&amp;C - VENDAS")</f>
        <v>0</v>
      </c>
      <c r="D9" s="54" t="str">
        <f>IFERROR(C9/O9,"")</f>
        <v/>
      </c>
      <c r="E9" s="53">
        <f>SUMIFS(LANC_FAT[VALOR DA NF COM IMPOSTO],LANC_FAT[DATA EMISSÃO],"&gt;="&amp;CALENDARIO!B2,LANC_FAT[DATA EMISSÃO],"&lt;="&amp;CALENDARIO!C2,LANC_FAT[CLIENTE INTERNO],"A&amp;C - ENG")</f>
        <v>0</v>
      </c>
      <c r="F9" s="54" t="str">
        <f t="shared" ref="F9:F20" si="0">IFERROR(E9/O9,"")</f>
        <v/>
      </c>
      <c r="G9" s="53">
        <f>SUMIFS(LANC_FAT[VALOR DA NF COM IMPOSTO],LANC_FAT[DATA EMISSÃO],"&gt;="&amp;CALENDARIO!B2,LANC_FAT[DATA EMISSÃO],"&lt;="&amp;CALENDARIO!C2,LANC_FAT[CLIENTE INTERNO],"MLM")</f>
        <v>0</v>
      </c>
      <c r="H9" s="54" t="str">
        <f t="shared" ref="H9:H20" si="1">IFERROR(G9/O9,"")</f>
        <v/>
      </c>
      <c r="I9" s="55">
        <f>SUMIFS(LANC_FAT[VALOR DA NF COM IMPOSTO],LANC_FAT[DATA EMISSÃO],"&gt;="&amp;CALENDARIO!B2,LANC_FAT[DATA EMISSÃO],"&lt;="&amp;CALENDARIO!C2,LANC_FAT[CLIENTE INTERNO],"MLM-MEC")</f>
        <v>0</v>
      </c>
      <c r="J9" s="54" t="str">
        <f t="shared" ref="J9:J20" si="2">IFERROR(I9/O9,"")</f>
        <v/>
      </c>
      <c r="K9" s="55">
        <f>SUMIFS(LANC_FAT[VALOR DA NF COM IMPOSTO],LANC_FAT[DATA EMISSÃO],"&gt;="&amp;CALENDARIO!B2,LANC_FAT[DATA EMISSÃO],"&lt;="&amp;CALENDARIO!C2,LANC_FAT[CLIENTE INTERNO],"2AN")</f>
        <v>0</v>
      </c>
      <c r="L9" s="54" t="str">
        <f t="shared" ref="L9:L20" si="3">IFERROR(K9/O9,"")</f>
        <v/>
      </c>
      <c r="M9" s="55">
        <f>SUMIFS(LANC_FAT[VALOR DA NF COM IMPOSTO],LANC_FAT[DATA EMISSÃO],"&gt;="&amp;CALENDARIO!B2,LANC_FAT[DATA EMISSÃO],"&lt;="&amp;CALENDARIO!C2,LANC_FAT[CLIENTE INTERNO],"A&amp;C - MONT")</f>
        <v>0</v>
      </c>
      <c r="N9" s="54" t="str">
        <f t="shared" ref="N9:N20" si="4">IFERROR(M9/O9,"")</f>
        <v/>
      </c>
      <c r="O9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9" s="57" t="str">
        <f>IFERROR(H9+F9+D9+L9+Tabela41114[[#This Row],[(%) MONT]],"")</f>
        <v/>
      </c>
    </row>
    <row r="10" spans="2:17" x14ac:dyDescent="0.3">
      <c r="B10" s="52" t="s">
        <v>30</v>
      </c>
      <c r="C10" s="53">
        <f>SUMIFS(LANC_FAT[VALOR DA NF COM IMPOSTO],LANC_FAT[DATA EMISSÃO],"&gt;="&amp;CALENDARIO!B3,LANC_FAT[DATA EMISSÃO],"&lt;="&amp;CALENDARIO!C3,LANC_FAT[CLIENTE INTERNO],"A&amp;C - VENDAS")</f>
        <v>0</v>
      </c>
      <c r="D10" s="54" t="str">
        <f t="shared" ref="D10:D20" si="5">IFERROR(C10/O10,"")</f>
        <v/>
      </c>
      <c r="E10" s="53">
        <f>SUMIFS(LANC_FAT[VALOR DA NF COM IMPOSTO],LANC_FAT[DATA EMISSÃO],"&gt;="&amp;CALENDARIO!B3,LANC_FAT[DATA EMISSÃO],"&lt;="&amp;CALENDARIO!C3,LANC_FAT[CLIENTE INTERNO],"A&amp;C - ENG")</f>
        <v>0</v>
      </c>
      <c r="F10" s="54" t="str">
        <f t="shared" si="0"/>
        <v/>
      </c>
      <c r="G10" s="53">
        <f>SUMIFS(LANC_FAT[VALOR DA NF COM IMPOSTO],LANC_FAT[DATA EMISSÃO],"&gt;="&amp;CALENDARIO!B3,LANC_FAT[DATA EMISSÃO],"&lt;="&amp;CALENDARIO!C3,LANC_FAT[CLIENTE INTERNO],"MLM")</f>
        <v>0</v>
      </c>
      <c r="H10" s="54" t="str">
        <f t="shared" si="1"/>
        <v/>
      </c>
      <c r="I10" s="55">
        <f>SUMIFS(LANC_FAT[VALOR DA NF COM IMPOSTO],LANC_FAT[DATA EMISSÃO],"&gt;="&amp;CALENDARIO!B3,LANC_FAT[DATA EMISSÃO],"&lt;="&amp;CALENDARIO!C3,LANC_FAT[CLIENTE INTERNO],"MLM-MEC")</f>
        <v>0</v>
      </c>
      <c r="J10" s="54" t="str">
        <f t="shared" si="2"/>
        <v/>
      </c>
      <c r="K10" s="55">
        <f>SUMIFS(LANC_FAT[VALOR DA NF COM IMPOSTO],LANC_FAT[DATA EMISSÃO],"&gt;="&amp;CALENDARIO!B3,LANC_FAT[DATA EMISSÃO],"&lt;="&amp;CALENDARIO!C3,LANC_FAT[CLIENTE INTERNO],"2AN")</f>
        <v>0</v>
      </c>
      <c r="L10" s="54" t="str">
        <f t="shared" si="3"/>
        <v/>
      </c>
      <c r="M10" s="55">
        <f>SUMIFS(LANC_FAT[VALOR DA NF COM IMPOSTO],LANC_FAT[DATA EMISSÃO],"&gt;="&amp;CALENDARIO!B3,LANC_FAT[DATA EMISSÃO],"&lt;="&amp;CALENDARIO!C3,LANC_FAT[CLIENTE INTERNO],"A&amp;C - MONT")</f>
        <v>0</v>
      </c>
      <c r="N10" s="54" t="str">
        <f t="shared" si="4"/>
        <v/>
      </c>
      <c r="O10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0" s="57" t="str">
        <f>IFERROR(H10+F10+D10+L10+Tabela41114[[#This Row],[(%) MONT]],"")</f>
        <v/>
      </c>
    </row>
    <row r="11" spans="2:17" x14ac:dyDescent="0.3">
      <c r="B11" s="52" t="s">
        <v>90</v>
      </c>
      <c r="C11" s="53">
        <f>SUMIFS(LANC_FAT[VALOR DA NF COM IMPOSTO],LANC_FAT[DATA EMISSÃO],"&gt;="&amp;CALENDARIO!B4,LANC_FAT[DATA EMISSÃO],"&lt;="&amp;CALENDARIO!C4,LANC_FAT[CLIENTE INTERNO],"A&amp;C - VENDAS")</f>
        <v>0</v>
      </c>
      <c r="D11" s="54" t="str">
        <f t="shared" si="5"/>
        <v/>
      </c>
      <c r="E11" s="53">
        <f>SUMIFS(LANC_FAT[VALOR DA NF COM IMPOSTO],LANC_FAT[DATA EMISSÃO],"&gt;="&amp;CALENDARIO!B4,LANC_FAT[DATA EMISSÃO],"&lt;="&amp;CALENDARIO!C4,LANC_FAT[CLIENTE INTERNO],"A&amp;C - ENG")</f>
        <v>0</v>
      </c>
      <c r="F11" s="54" t="str">
        <f t="shared" si="0"/>
        <v/>
      </c>
      <c r="G11" s="53">
        <f>SUMIFS(LANC_FAT[VALOR DA NF COM IMPOSTO],LANC_FAT[DATA EMISSÃO],"&gt;="&amp;CALENDARIO!B4,LANC_FAT[DATA EMISSÃO],"&lt;="&amp;CALENDARIO!C4,LANC_FAT[CLIENTE INTERNO],"MLM")</f>
        <v>0</v>
      </c>
      <c r="H11" s="54" t="str">
        <f t="shared" si="1"/>
        <v/>
      </c>
      <c r="I11" s="55">
        <f>SUMIFS(LANC_FAT[VALOR DA NF COM IMPOSTO],LANC_FAT[DATA EMISSÃO],"&gt;="&amp;CALENDARIO!B4,LANC_FAT[DATA EMISSÃO],"&lt;="&amp;CALENDARIO!C4,LANC_FAT[CLIENTE INTERNO],"MLM-MEC")</f>
        <v>0</v>
      </c>
      <c r="J11" s="54" t="str">
        <f t="shared" si="2"/>
        <v/>
      </c>
      <c r="K11" s="55">
        <f>SUMIFS(LANC_FAT[VALOR DA NF COM IMPOSTO],LANC_FAT[DATA EMISSÃO],"&gt;="&amp;CALENDARIO!B4,LANC_FAT[DATA EMISSÃO],"&lt;="&amp;CALENDARIO!C4,LANC_FAT[CLIENTE INTERNO],"2AN")</f>
        <v>0</v>
      </c>
      <c r="L11" s="54" t="str">
        <f t="shared" si="3"/>
        <v/>
      </c>
      <c r="M11" s="55">
        <f>SUMIFS(LANC_FAT[VALOR DA NF COM IMPOSTO],LANC_FAT[DATA EMISSÃO],"&gt;="&amp;CALENDARIO!B4,LANC_FAT[DATA EMISSÃO],"&lt;="&amp;CALENDARIO!C4,LANC_FAT[CLIENTE INTERNO],"A&amp;C - MONT")</f>
        <v>0</v>
      </c>
      <c r="N11" s="54" t="str">
        <f t="shared" si="4"/>
        <v/>
      </c>
      <c r="O11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1" s="57" t="str">
        <f>IFERROR(H11+F11+D11+L11+Tabela41114[[#This Row],[(%) MONT]],"")</f>
        <v/>
      </c>
    </row>
    <row r="12" spans="2:17" x14ac:dyDescent="0.3">
      <c r="B12" s="52" t="s">
        <v>91</v>
      </c>
      <c r="C12" s="53">
        <f>SUMIFS(LANC_FAT[VALOR DA NF COM IMPOSTO],LANC_FAT[DATA EMISSÃO],"&gt;="&amp;CALENDARIO!B5,LANC_FAT[DATA EMISSÃO],"&lt;="&amp;CALENDARIO!C5,LANC_FAT[CLIENTE INTERNO],"A&amp;C - VENDAS")</f>
        <v>0</v>
      </c>
      <c r="D12" s="54" t="str">
        <f t="shared" si="5"/>
        <v/>
      </c>
      <c r="E12" s="53">
        <f>SUMIFS(LANC_FAT[VALOR DA NF COM IMPOSTO],LANC_FAT[DATA EMISSÃO],"&gt;="&amp;CALENDARIO!B5,LANC_FAT[DATA EMISSÃO],"&lt;="&amp;CALENDARIO!C5,LANC_FAT[CLIENTE INTERNO],"A&amp;C - ENG")</f>
        <v>0</v>
      </c>
      <c r="F12" s="54" t="str">
        <f t="shared" si="0"/>
        <v/>
      </c>
      <c r="G12" s="53">
        <f>SUMIFS(LANC_FAT[VALOR DA NF COM IMPOSTO],LANC_FAT[DATA EMISSÃO],"&gt;="&amp;CALENDARIO!B5,LANC_FAT[DATA EMISSÃO],"&lt;="&amp;CALENDARIO!C5,LANC_FAT[CLIENTE INTERNO],"MLM")</f>
        <v>0</v>
      </c>
      <c r="H12" s="54" t="str">
        <f t="shared" si="1"/>
        <v/>
      </c>
      <c r="I12" s="55">
        <f>SUMIFS(LANC_FAT[VALOR DA NF COM IMPOSTO],LANC_FAT[DATA EMISSÃO],"&gt;="&amp;CALENDARIO!B5,LANC_FAT[DATA EMISSÃO],"&lt;="&amp;CALENDARIO!C5,LANC_FAT[CLIENTE INTERNO],"MLM-MEC")</f>
        <v>0</v>
      </c>
      <c r="J12" s="54" t="str">
        <f t="shared" si="2"/>
        <v/>
      </c>
      <c r="K12" s="55">
        <f>SUMIFS(LANC_FAT[VALOR DA NF COM IMPOSTO],LANC_FAT[DATA EMISSÃO],"&gt;="&amp;CALENDARIO!B5,LANC_FAT[DATA EMISSÃO],"&lt;="&amp;CALENDARIO!C5,LANC_FAT[CLIENTE INTERNO],"2AN")</f>
        <v>0</v>
      </c>
      <c r="L12" s="54" t="str">
        <f t="shared" si="3"/>
        <v/>
      </c>
      <c r="M12" s="55">
        <f>SUMIFS(LANC_FAT[VALOR DA NF COM IMPOSTO],LANC_FAT[DATA EMISSÃO],"&gt;="&amp;CALENDARIO!B5,LANC_FAT[DATA EMISSÃO],"&lt;="&amp;CALENDARIO!C5,LANC_FAT[CLIENTE INTERNO],"A&amp;C - MONT")</f>
        <v>0</v>
      </c>
      <c r="N12" s="54" t="str">
        <f t="shared" si="4"/>
        <v/>
      </c>
      <c r="O12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2" s="57" t="str">
        <f>IFERROR(H12+F12+D12+L12+Tabela41114[[#This Row],[(%) MONT]],"")</f>
        <v/>
      </c>
    </row>
    <row r="13" spans="2:17" x14ac:dyDescent="0.3">
      <c r="B13" s="52" t="s">
        <v>92</v>
      </c>
      <c r="C13" s="53">
        <f>SUMIFS(LANC_FAT[VALOR DA NF COM IMPOSTO],LANC_FAT[DATA EMISSÃO],"&gt;="&amp;CALENDARIO!B6,LANC_FAT[DATA EMISSÃO],"&lt;="&amp;CALENDARIO!C6,LANC_FAT[CLIENTE INTERNO],"A&amp;C - VENDAS")</f>
        <v>0</v>
      </c>
      <c r="D13" s="54" t="str">
        <f t="shared" si="5"/>
        <v/>
      </c>
      <c r="E13" s="53">
        <f>SUMIFS(LANC_FAT[VALOR DA NF COM IMPOSTO],LANC_FAT[DATA EMISSÃO],"&gt;="&amp;CALENDARIO!B6,LANC_FAT[DATA EMISSÃO],"&lt;="&amp;CALENDARIO!C6,LANC_FAT[CLIENTE INTERNO],"A&amp;C - ENG")</f>
        <v>0</v>
      </c>
      <c r="F13" s="54" t="str">
        <f t="shared" si="0"/>
        <v/>
      </c>
      <c r="G13" s="53">
        <f>SUMIFS(LANC_FAT[VALOR DA NF COM IMPOSTO],LANC_FAT[DATA EMISSÃO],"&gt;="&amp;CALENDARIO!B6,LANC_FAT[DATA EMISSÃO],"&lt;="&amp;CALENDARIO!C6,LANC_FAT[CLIENTE INTERNO],"MLM")</f>
        <v>0</v>
      </c>
      <c r="H13" s="54" t="str">
        <f t="shared" si="1"/>
        <v/>
      </c>
      <c r="I13" s="55">
        <f>SUMIFS(LANC_FAT[VALOR DA NF COM IMPOSTO],LANC_FAT[DATA EMISSÃO],"&gt;="&amp;CALENDARIO!B6,LANC_FAT[DATA EMISSÃO],"&lt;="&amp;CALENDARIO!C6,LANC_FAT[CLIENTE INTERNO],"MLM-MEC")</f>
        <v>0</v>
      </c>
      <c r="J13" s="54" t="str">
        <f t="shared" si="2"/>
        <v/>
      </c>
      <c r="K13" s="55">
        <f>SUMIFS(LANC_FAT[VALOR DA NF COM IMPOSTO],LANC_FAT[DATA EMISSÃO],"&gt;="&amp;CALENDARIO!B6,LANC_FAT[DATA EMISSÃO],"&lt;="&amp;CALENDARIO!C6,LANC_FAT[CLIENTE INTERNO],"2AN")</f>
        <v>0</v>
      </c>
      <c r="L13" s="54" t="str">
        <f t="shared" si="3"/>
        <v/>
      </c>
      <c r="M13" s="55">
        <f>SUMIFS(LANC_FAT[VALOR DA NF COM IMPOSTO],LANC_FAT[DATA EMISSÃO],"&gt;="&amp;CALENDARIO!B6,LANC_FAT[DATA EMISSÃO],"&lt;="&amp;CALENDARIO!C6,LANC_FAT[CLIENTE INTERNO],"A&amp;C - MONT")</f>
        <v>0</v>
      </c>
      <c r="N13" s="54" t="str">
        <f t="shared" si="4"/>
        <v/>
      </c>
      <c r="O13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3" s="57" t="str">
        <f>IFERROR(H13+F13+D13+L13+Tabela41114[[#This Row],[(%) MONT]],"")</f>
        <v/>
      </c>
    </row>
    <row r="14" spans="2:17" x14ac:dyDescent="0.3">
      <c r="B14" s="52" t="s">
        <v>93</v>
      </c>
      <c r="C14" s="53">
        <f>SUMIFS(LANC_FAT[VALOR DA NF COM IMPOSTO],LANC_FAT[DATA EMISSÃO],"&gt;="&amp;CALENDARIO!B7,LANC_FAT[DATA EMISSÃO],"&lt;="&amp;CALENDARIO!C7,LANC_FAT[CLIENTE INTERNO],"A&amp;C - VENDAS")</f>
        <v>0</v>
      </c>
      <c r="D14" s="54" t="str">
        <f t="shared" si="5"/>
        <v/>
      </c>
      <c r="E14" s="53">
        <f>SUMIFS(LANC_FAT[VALOR DA NF COM IMPOSTO],LANC_FAT[DATA EMISSÃO],"&gt;="&amp;CALENDARIO!B7,LANC_FAT[DATA EMISSÃO],"&lt;="&amp;CALENDARIO!C7,LANC_FAT[CLIENTE INTERNO],"A&amp;C - ENG")</f>
        <v>0</v>
      </c>
      <c r="F14" s="54" t="str">
        <f t="shared" si="0"/>
        <v/>
      </c>
      <c r="G14" s="53">
        <f>SUMIFS(LANC_FAT[VALOR DA NF COM IMPOSTO],LANC_FAT[DATA EMISSÃO],"&gt;="&amp;CALENDARIO!B7,LANC_FAT[DATA EMISSÃO],"&lt;="&amp;CALENDARIO!C7,LANC_FAT[CLIENTE INTERNO],"MLM")</f>
        <v>0</v>
      </c>
      <c r="H14" s="54" t="str">
        <f t="shared" si="1"/>
        <v/>
      </c>
      <c r="I14" s="55">
        <f>SUMIFS(LANC_FAT[VALOR DA NF COM IMPOSTO],LANC_FAT[DATA EMISSÃO],"&gt;="&amp;CALENDARIO!B7,LANC_FAT[DATA EMISSÃO],"&lt;="&amp;CALENDARIO!C7,LANC_FAT[CLIENTE INTERNO],"MLM-MEC")</f>
        <v>0</v>
      </c>
      <c r="J14" s="54" t="str">
        <f t="shared" si="2"/>
        <v/>
      </c>
      <c r="K14" s="55">
        <f>SUMIFS(LANC_FAT[VALOR DA NF COM IMPOSTO],LANC_FAT[DATA EMISSÃO],"&gt;="&amp;CALENDARIO!B7,LANC_FAT[DATA EMISSÃO],"&lt;="&amp;CALENDARIO!C7,LANC_FAT[CLIENTE INTERNO],"2AN")</f>
        <v>0</v>
      </c>
      <c r="L14" s="54" t="str">
        <f t="shared" si="3"/>
        <v/>
      </c>
      <c r="M14" s="55">
        <f>SUMIFS(LANC_FAT[VALOR DA NF COM IMPOSTO],LANC_FAT[DATA EMISSÃO],"&gt;="&amp;CALENDARIO!B7,LANC_FAT[DATA EMISSÃO],"&lt;="&amp;CALENDARIO!C7,LANC_FAT[CLIENTE INTERNO],"A&amp;C - MONT")</f>
        <v>0</v>
      </c>
      <c r="N14" s="54" t="str">
        <f t="shared" si="4"/>
        <v/>
      </c>
      <c r="O14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4" s="57" t="str">
        <f>IFERROR(H14+F14+D14+L14+Tabela41114[[#This Row],[(%) MONT]],"")</f>
        <v/>
      </c>
    </row>
    <row r="15" spans="2:17" x14ac:dyDescent="0.3">
      <c r="B15" s="52" t="s">
        <v>94</v>
      </c>
      <c r="C15" s="53">
        <f>SUMIFS(LANC_FAT[VALOR DA NF COM IMPOSTO],LANC_FAT[DATA EMISSÃO],"&gt;="&amp;CALENDARIO!B8,LANC_FAT[DATA EMISSÃO],"&lt;="&amp;CALENDARIO!C8,LANC_FAT[CLIENTE INTERNO],"A&amp;C - VENDAS")</f>
        <v>0</v>
      </c>
      <c r="D15" s="54" t="str">
        <f t="shared" si="5"/>
        <v/>
      </c>
      <c r="E15" s="53">
        <f>SUMIFS(LANC_FAT[VALOR DA NF COM IMPOSTO],LANC_FAT[DATA EMISSÃO],"&gt;="&amp;CALENDARIO!B8,LANC_FAT[DATA EMISSÃO],"&lt;="&amp;CALENDARIO!C8,LANC_FAT[CLIENTE INTERNO],"A&amp;C - ENG")</f>
        <v>0</v>
      </c>
      <c r="F15" s="54" t="str">
        <f t="shared" si="0"/>
        <v/>
      </c>
      <c r="G15" s="53">
        <f>SUMIFS(LANC_FAT[VALOR DA NF COM IMPOSTO],LANC_FAT[DATA EMISSÃO],"&gt;="&amp;CALENDARIO!B8,LANC_FAT[DATA EMISSÃO],"&lt;="&amp;CALENDARIO!C8,LANC_FAT[CLIENTE INTERNO],"MLM")</f>
        <v>0</v>
      </c>
      <c r="H15" s="54" t="str">
        <f t="shared" si="1"/>
        <v/>
      </c>
      <c r="I15" s="55">
        <f>SUMIFS(LANC_FAT[VALOR DA NF COM IMPOSTO],LANC_FAT[DATA EMISSÃO],"&gt;="&amp;CALENDARIO!B8,LANC_FAT[DATA EMISSÃO],"&lt;="&amp;CALENDARIO!C8,LANC_FAT[CLIENTE INTERNO],"MLM-MEC")</f>
        <v>0</v>
      </c>
      <c r="J15" s="54" t="str">
        <f t="shared" si="2"/>
        <v/>
      </c>
      <c r="K15" s="55">
        <f>SUMIFS(LANC_FAT[VALOR DA NF COM IMPOSTO],LANC_FAT[DATA EMISSÃO],"&gt;="&amp;CALENDARIO!B8,LANC_FAT[DATA EMISSÃO],"&lt;="&amp;CALENDARIO!C8,LANC_FAT[CLIENTE INTERNO],"2AN")</f>
        <v>0</v>
      </c>
      <c r="L15" s="54" t="str">
        <f t="shared" si="3"/>
        <v/>
      </c>
      <c r="M15" s="55">
        <f>SUMIFS(LANC_FAT[VALOR DA NF COM IMPOSTO],LANC_FAT[DATA EMISSÃO],"&gt;="&amp;CALENDARIO!B8,LANC_FAT[DATA EMISSÃO],"&lt;="&amp;CALENDARIO!C8,LANC_FAT[CLIENTE INTERNO],"A&amp;C - MONT")</f>
        <v>0</v>
      </c>
      <c r="N15" s="54" t="str">
        <f t="shared" si="4"/>
        <v/>
      </c>
      <c r="O15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5" s="57" t="str">
        <f>IFERROR(H15+F15+D15+L15+Tabela41114[[#This Row],[(%) MONT]],"")</f>
        <v/>
      </c>
    </row>
    <row r="16" spans="2:17" x14ac:dyDescent="0.3">
      <c r="B16" s="52" t="s">
        <v>95</v>
      </c>
      <c r="C16" s="53">
        <f>SUMIFS(LANC_FAT[VALOR DA NF COM IMPOSTO],LANC_FAT[DATA EMISSÃO],"&gt;="&amp;CALENDARIO!B9,LANC_FAT[DATA EMISSÃO],"&lt;="&amp;CALENDARIO!C9,LANC_FAT[CLIENTE INTERNO],"A&amp;C - VENDAS")</f>
        <v>0</v>
      </c>
      <c r="D16" s="54" t="str">
        <f t="shared" si="5"/>
        <v/>
      </c>
      <c r="E16" s="53">
        <f>SUMIFS(LANC_FAT[VALOR DA NF COM IMPOSTO],LANC_FAT[DATA EMISSÃO],"&gt;="&amp;CALENDARIO!B9,LANC_FAT[DATA EMISSÃO],"&lt;="&amp;CALENDARIO!C9,LANC_FAT[CLIENTE INTERNO],"A&amp;C - ENG")</f>
        <v>0</v>
      </c>
      <c r="F16" s="54" t="str">
        <f t="shared" si="0"/>
        <v/>
      </c>
      <c r="G16" s="53">
        <f>SUMIFS(LANC_FAT[VALOR DA NF COM IMPOSTO],LANC_FAT[DATA EMISSÃO],"&gt;="&amp;CALENDARIO!B9,LANC_FAT[DATA EMISSÃO],"&lt;="&amp;CALENDARIO!C9,LANC_FAT[CLIENTE INTERNO],"MLM")</f>
        <v>0</v>
      </c>
      <c r="H16" s="54" t="str">
        <f t="shared" si="1"/>
        <v/>
      </c>
      <c r="I16" s="55">
        <f>SUMIFS(LANC_FAT[VALOR DA NF COM IMPOSTO],LANC_FAT[DATA EMISSÃO],"&gt;="&amp;CALENDARIO!B9,LANC_FAT[DATA EMISSÃO],"&lt;="&amp;CALENDARIO!C9,LANC_FAT[CLIENTE INTERNO],"MLM-MEC")</f>
        <v>0</v>
      </c>
      <c r="J16" s="54" t="str">
        <f t="shared" si="2"/>
        <v/>
      </c>
      <c r="K16" s="55">
        <f>SUMIFS(LANC_FAT[VALOR DA NF COM IMPOSTO],LANC_FAT[DATA EMISSÃO],"&gt;="&amp;CALENDARIO!B9,LANC_FAT[DATA EMISSÃO],"&lt;="&amp;CALENDARIO!C9,LANC_FAT[CLIENTE INTERNO],"2AN")</f>
        <v>0</v>
      </c>
      <c r="L16" s="54" t="str">
        <f t="shared" si="3"/>
        <v/>
      </c>
      <c r="M16" s="55">
        <f>SUMIFS(LANC_FAT[VALOR DA NF COM IMPOSTO],LANC_FAT[DATA EMISSÃO],"&gt;="&amp;CALENDARIO!B9,LANC_FAT[DATA EMISSÃO],"&lt;="&amp;CALENDARIO!C9,LANC_FAT[CLIENTE INTERNO],"A&amp;C - MONT")</f>
        <v>0</v>
      </c>
      <c r="N16" s="54" t="str">
        <f t="shared" si="4"/>
        <v/>
      </c>
      <c r="O16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6" s="57" t="str">
        <f>IFERROR(H16+F16+D16+L16+Tabela41114[[#This Row],[(%) MONT]],"")</f>
        <v/>
      </c>
    </row>
    <row r="17" spans="2:16" x14ac:dyDescent="0.3">
      <c r="B17" s="52" t="s">
        <v>96</v>
      </c>
      <c r="C17" s="53">
        <f>SUMIFS(LANC_FAT[VALOR DA NF COM IMPOSTO],LANC_FAT[DATA EMISSÃO],"&gt;="&amp;CALENDARIO!B10,LANC_FAT[DATA EMISSÃO],"&lt;="&amp;CALENDARIO!C10,LANC_FAT[CLIENTE INTERNO],"A&amp;C - VENDAS")</f>
        <v>0</v>
      </c>
      <c r="D17" s="54" t="str">
        <f t="shared" si="5"/>
        <v/>
      </c>
      <c r="E17" s="53">
        <f>SUMIFS(LANC_FAT[VALOR DA NF COM IMPOSTO],LANC_FAT[DATA EMISSÃO],"&gt;="&amp;CALENDARIO!B10,LANC_FAT[DATA EMISSÃO],"&lt;="&amp;CALENDARIO!C10,LANC_FAT[CLIENTE INTERNO],"A&amp;C - ENG")</f>
        <v>0</v>
      </c>
      <c r="F17" s="54" t="str">
        <f t="shared" si="0"/>
        <v/>
      </c>
      <c r="G17" s="53">
        <f>SUMIFS(LANC_FAT[VALOR DA NF COM IMPOSTO],LANC_FAT[DATA EMISSÃO],"&gt;="&amp;CALENDARIO!B10,LANC_FAT[DATA EMISSÃO],"&lt;="&amp;CALENDARIO!C10,LANC_FAT[CLIENTE INTERNO],"MLM")</f>
        <v>0</v>
      </c>
      <c r="H17" s="54" t="str">
        <f t="shared" si="1"/>
        <v/>
      </c>
      <c r="I17" s="55">
        <f>SUMIFS(LANC_FAT[VALOR DA NF COM IMPOSTO],LANC_FAT[DATA EMISSÃO],"&gt;="&amp;CALENDARIO!B10,LANC_FAT[DATA EMISSÃO],"&lt;="&amp;CALENDARIO!C10,LANC_FAT[CLIENTE INTERNO],"MLM-MEC")</f>
        <v>0</v>
      </c>
      <c r="J17" s="54" t="str">
        <f t="shared" si="2"/>
        <v/>
      </c>
      <c r="K17" s="55">
        <f>SUMIFS(LANC_FAT[VALOR DA NF COM IMPOSTO],LANC_FAT[DATA EMISSÃO],"&gt;="&amp;CALENDARIO!B10,LANC_FAT[DATA EMISSÃO],"&lt;="&amp;CALENDARIO!C10,LANC_FAT[CLIENTE INTERNO],"2AN")</f>
        <v>0</v>
      </c>
      <c r="L17" s="54" t="str">
        <f t="shared" si="3"/>
        <v/>
      </c>
      <c r="M17" s="55">
        <f>SUMIFS(LANC_FAT[VALOR DA NF COM IMPOSTO],LANC_FAT[DATA EMISSÃO],"&gt;="&amp;CALENDARIO!B10,LANC_FAT[DATA EMISSÃO],"&lt;="&amp;CALENDARIO!C10,LANC_FAT[CLIENTE INTERNO],"A&amp;C - MONT")</f>
        <v>0</v>
      </c>
      <c r="N17" s="54" t="str">
        <f t="shared" si="4"/>
        <v/>
      </c>
      <c r="O17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7" s="57" t="str">
        <f>IFERROR(H17+F17+D17+L17+Tabela41114[[#This Row],[(%) MONT]],"")</f>
        <v/>
      </c>
    </row>
    <row r="18" spans="2:16" x14ac:dyDescent="0.3">
      <c r="B18" s="52" t="s">
        <v>97</v>
      </c>
      <c r="C18" s="53">
        <f>SUMIFS(LANC_FAT[VALOR DA NF COM IMPOSTO],LANC_FAT[DATA EMISSÃO],"&gt;="&amp;CALENDARIO!B11,LANC_FAT[DATA EMISSÃO],"&lt;="&amp;CALENDARIO!C11,LANC_FAT[CLIENTE INTERNO],"A&amp;C - VENDAS")</f>
        <v>0</v>
      </c>
      <c r="D18" s="54" t="str">
        <f t="shared" si="5"/>
        <v/>
      </c>
      <c r="E18" s="53">
        <f>SUMIFS(LANC_FAT[VALOR DA NF COM IMPOSTO],LANC_FAT[DATA EMISSÃO],"&gt;="&amp;CALENDARIO!B11,LANC_FAT[DATA EMISSÃO],"&lt;="&amp;CALENDARIO!C11,LANC_FAT[CLIENTE INTERNO],"A&amp;C - ENG")</f>
        <v>0</v>
      </c>
      <c r="F18" s="54" t="str">
        <f t="shared" si="0"/>
        <v/>
      </c>
      <c r="G18" s="53">
        <f>SUMIFS(LANC_FAT[VALOR DA NF COM IMPOSTO],LANC_FAT[DATA EMISSÃO],"&gt;="&amp;CALENDARIO!B11,LANC_FAT[DATA EMISSÃO],"&lt;="&amp;CALENDARIO!C11,LANC_FAT[CLIENTE INTERNO],"MLM")</f>
        <v>0</v>
      </c>
      <c r="H18" s="54" t="str">
        <f t="shared" si="1"/>
        <v/>
      </c>
      <c r="I18" s="55">
        <f>SUMIFS(LANC_FAT[VALOR DA NF COM IMPOSTO],LANC_FAT[DATA EMISSÃO],"&gt;="&amp;CALENDARIO!B11,LANC_FAT[DATA EMISSÃO],"&lt;="&amp;CALENDARIO!C11,LANC_FAT[CLIENTE INTERNO],"MLM-MEC")</f>
        <v>0</v>
      </c>
      <c r="J18" s="54" t="str">
        <f t="shared" si="2"/>
        <v/>
      </c>
      <c r="K18" s="55">
        <f>SUMIFS(LANC_FAT[VALOR DA NF COM IMPOSTO],LANC_FAT[DATA EMISSÃO],"&gt;="&amp;CALENDARIO!B11,LANC_FAT[DATA EMISSÃO],"&lt;="&amp;CALENDARIO!C11,LANC_FAT[CLIENTE INTERNO],"2AN")</f>
        <v>0</v>
      </c>
      <c r="L18" s="54" t="str">
        <f t="shared" si="3"/>
        <v/>
      </c>
      <c r="M18" s="55">
        <f>SUMIFS(LANC_FAT[VALOR DA NF COM IMPOSTO],LANC_FAT[DATA EMISSÃO],"&gt;="&amp;CALENDARIO!B11,LANC_FAT[DATA EMISSÃO],"&lt;="&amp;CALENDARIO!C11,LANC_FAT[CLIENTE INTERNO],"A&amp;C - MONT")</f>
        <v>0</v>
      </c>
      <c r="N18" s="54" t="str">
        <f t="shared" si="4"/>
        <v/>
      </c>
      <c r="O18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8" s="57" t="str">
        <f>IFERROR(H18+F18+D18+L18+Tabela41114[[#This Row],[(%) MONT]],"")</f>
        <v/>
      </c>
    </row>
    <row r="19" spans="2:16" x14ac:dyDescent="0.3">
      <c r="B19" s="52" t="s">
        <v>98</v>
      </c>
      <c r="C19" s="53">
        <f>SUMIFS(LANC_FAT[VALOR DA NF COM IMPOSTO],LANC_FAT[DATA EMISSÃO],"&gt;="&amp;CALENDARIO!B12,LANC_FAT[DATA EMISSÃO],"&lt;="&amp;CALENDARIO!C12,LANC_FAT[CLIENTE INTERNO],"A&amp;C - VENDAS")</f>
        <v>0</v>
      </c>
      <c r="D19" s="54" t="str">
        <f t="shared" si="5"/>
        <v/>
      </c>
      <c r="E19" s="53">
        <f>SUMIFS(LANC_FAT[VALOR DA NF COM IMPOSTO],LANC_FAT[DATA EMISSÃO],"&gt;="&amp;CALENDARIO!B12,LANC_FAT[DATA EMISSÃO],"&lt;="&amp;CALENDARIO!C12,LANC_FAT[CLIENTE INTERNO],"A&amp;C - ENG")</f>
        <v>0</v>
      </c>
      <c r="F19" s="54" t="str">
        <f t="shared" si="0"/>
        <v/>
      </c>
      <c r="G19" s="53">
        <f>SUMIFS(LANC_FAT[VALOR DA NF COM IMPOSTO],LANC_FAT[DATA EMISSÃO],"&gt;="&amp;CALENDARIO!B12,LANC_FAT[DATA EMISSÃO],"&lt;="&amp;CALENDARIO!C12,LANC_FAT[CLIENTE INTERNO],"MLM")</f>
        <v>0</v>
      </c>
      <c r="H19" s="54" t="str">
        <f t="shared" si="1"/>
        <v/>
      </c>
      <c r="I19" s="55">
        <f>SUMIFS(LANC_FAT[VALOR DA NF COM IMPOSTO],LANC_FAT[DATA EMISSÃO],"&gt;="&amp;CALENDARIO!B12,LANC_FAT[DATA EMISSÃO],"&lt;="&amp;CALENDARIO!C12,LANC_FAT[CLIENTE INTERNO],"MLM-MEC")</f>
        <v>0</v>
      </c>
      <c r="J19" s="54" t="str">
        <f t="shared" si="2"/>
        <v/>
      </c>
      <c r="K19" s="55">
        <f>SUMIFS(LANC_FAT[VALOR DA NF COM IMPOSTO],LANC_FAT[DATA EMISSÃO],"&gt;="&amp;CALENDARIO!B12,LANC_FAT[DATA EMISSÃO],"&lt;="&amp;CALENDARIO!C12,LANC_FAT[CLIENTE INTERNO],"2AN")</f>
        <v>0</v>
      </c>
      <c r="L19" s="54" t="str">
        <f t="shared" si="3"/>
        <v/>
      </c>
      <c r="M19" s="55">
        <f>SUMIFS(LANC_FAT[VALOR DA NF COM IMPOSTO],LANC_FAT[DATA EMISSÃO],"&gt;="&amp;CALENDARIO!B12,LANC_FAT[DATA EMISSÃO],"&lt;="&amp;CALENDARIO!C12,LANC_FAT[CLIENTE INTERNO],"A&amp;C - MONT")</f>
        <v>0</v>
      </c>
      <c r="N19" s="54" t="str">
        <f t="shared" si="4"/>
        <v/>
      </c>
      <c r="O19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19" s="57" t="str">
        <f>IFERROR(H19+F19+D19+L19+Tabela41114[[#This Row],[(%) MONT]],"")</f>
        <v/>
      </c>
    </row>
    <row r="20" spans="2:16" x14ac:dyDescent="0.3">
      <c r="B20" s="52" t="s">
        <v>99</v>
      </c>
      <c r="C20" s="53">
        <f>SUMIFS(LANC_FAT[VALOR DA NF COM IMPOSTO],LANC_FAT[DATA EMISSÃO],"&gt;="&amp;CALENDARIO!B13,LANC_FAT[DATA EMISSÃO],"&lt;="&amp;CALENDARIO!C13,LANC_FAT[CLIENTE INTERNO],"A&amp;C - VENDAS")</f>
        <v>0</v>
      </c>
      <c r="D20" s="54" t="str">
        <f t="shared" si="5"/>
        <v/>
      </c>
      <c r="E20" s="53">
        <f>SUMIFS(LANC_FAT[VALOR DA NF COM IMPOSTO],LANC_FAT[DATA EMISSÃO],"&gt;="&amp;CALENDARIO!B13,LANC_FAT[DATA EMISSÃO],"&lt;="&amp;CALENDARIO!C13,LANC_FAT[CLIENTE INTERNO],"A&amp;C - ENG")</f>
        <v>0</v>
      </c>
      <c r="F20" s="54" t="str">
        <f t="shared" si="0"/>
        <v/>
      </c>
      <c r="G20" s="53">
        <f>SUMIFS(LANC_FAT[VALOR DA NF COM IMPOSTO],LANC_FAT[DATA EMISSÃO],"&gt;="&amp;CALENDARIO!B13,LANC_FAT[DATA EMISSÃO],"&lt;="&amp;CALENDARIO!C13,LANC_FAT[CLIENTE INTERNO],"MLM")</f>
        <v>0</v>
      </c>
      <c r="H20" s="54" t="str">
        <f t="shared" si="1"/>
        <v/>
      </c>
      <c r="I20" s="55">
        <f>SUMIFS(LANC_FAT[VALOR DA NF COM IMPOSTO],LANC_FAT[DATA EMISSÃO],"&gt;="&amp;CALENDARIO!B13,LANC_FAT[DATA EMISSÃO],"&lt;="&amp;CALENDARIO!C13,LANC_FAT[CLIENTE INTERNO],"MLM-MEC")</f>
        <v>0</v>
      </c>
      <c r="J20" s="54" t="str">
        <f t="shared" si="2"/>
        <v/>
      </c>
      <c r="K20" s="55">
        <f>SUMIFS(LANC_FAT[VALOR DA NF COM IMPOSTO],LANC_FAT[DATA EMISSÃO],"&gt;="&amp;CALENDARIO!B13,LANC_FAT[DATA EMISSÃO],"&lt;="&amp;CALENDARIO!C13,LANC_FAT[CLIENTE INTERNO],"2AN")</f>
        <v>0</v>
      </c>
      <c r="L20" s="54" t="str">
        <f t="shared" si="3"/>
        <v/>
      </c>
      <c r="M20" s="55">
        <f>SUMIFS(LANC_FAT[VALOR DA NF COM IMPOSTO],LANC_FAT[DATA EMISSÃO],"&gt;="&amp;CALENDARIO!B13,LANC_FAT[DATA EMISSÃO],"&lt;="&amp;CALENDARIO!C13,LANC_FAT[CLIENTE INTERNO],"A&amp;C - MONT")</f>
        <v>0</v>
      </c>
      <c r="N20" s="54" t="str">
        <f t="shared" si="4"/>
        <v/>
      </c>
      <c r="O20" s="56">
        <f>Tabela41114[[#This Row],[(R$) VENDAS]]+Tabela41114[[#This Row],[(R$) ENG]]+Tabela41114[[#This Row],[(R$) MLM]]+Tabela41114[[#This Row],[(R$) MLM MEC]]+Tabela41114[[#This Row],[(R$) 2AN]]+Tabela41114[[#This Row],[(R$) MONT]]</f>
        <v>0</v>
      </c>
      <c r="P20" s="57" t="str">
        <f>IFERROR(H20+F20+D20+L20+Tabela41114[[#This Row],[(%) MONT]],"")</f>
        <v/>
      </c>
    </row>
    <row r="21" spans="2:16" x14ac:dyDescent="0.3">
      <c r="B21" s="58" t="s">
        <v>143</v>
      </c>
      <c r="C21" s="59">
        <f>SUBTOTAL(109,C9:C20)</f>
        <v>0</v>
      </c>
      <c r="D21" s="60"/>
      <c r="E21" s="59">
        <f>SUBTOTAL(109,E9:E20)</f>
        <v>0</v>
      </c>
      <c r="F21" s="60"/>
      <c r="G21" s="59">
        <f>SUBTOTAL(109,G9:G20)</f>
        <v>0</v>
      </c>
      <c r="H21" s="60"/>
      <c r="I21" s="59">
        <f>SUBTOTAL(109,I9:I20)</f>
        <v>0</v>
      </c>
      <c r="J21" s="60"/>
      <c r="K21" s="59">
        <f>SUBTOTAL(109,K9:K20)</f>
        <v>0</v>
      </c>
      <c r="L21" s="60"/>
      <c r="M21" s="59">
        <f>SUBTOTAL(109,M9:M20)</f>
        <v>0</v>
      </c>
      <c r="N21" s="60"/>
      <c r="O21" s="62">
        <f>SUM(O9:O20)</f>
        <v>0</v>
      </c>
      <c r="P21" s="63"/>
    </row>
    <row r="22" spans="2:16" x14ac:dyDescent="0.3">
      <c r="B22" s="52" t="s">
        <v>145</v>
      </c>
      <c r="C22" s="64" t="e">
        <f>C21/$O$21</f>
        <v>#DIV/0!</v>
      </c>
      <c r="D22" s="61"/>
      <c r="E22" s="64" t="e">
        <f>E21/$O$21</f>
        <v>#DIV/0!</v>
      </c>
      <c r="F22" s="61"/>
      <c r="G22" s="64" t="e">
        <f>G21/$O$21</f>
        <v>#DIV/0!</v>
      </c>
      <c r="H22" s="61"/>
      <c r="I22" s="64" t="e">
        <f>I21/$O$21</f>
        <v>#DIV/0!</v>
      </c>
      <c r="J22" s="61"/>
      <c r="K22" s="64" t="e">
        <f>K21/$O$21</f>
        <v>#DIV/0!</v>
      </c>
      <c r="L22" s="61"/>
      <c r="M22" s="64" t="e">
        <f>M21/$O$21</f>
        <v>#DIV/0!</v>
      </c>
      <c r="N22" s="61"/>
      <c r="O22" s="65" t="str">
        <f>IFERROR(G22+E22+C22+Tabela41114[[#This Row],[(R$) MLM MEC]]+Tabela41114[[#This Row],[(R$) 2AN]]+Tabela41114[[#This Row],[(R$) MONT]],"")</f>
        <v/>
      </c>
      <c r="P22" s="66"/>
    </row>
    <row r="23" spans="2:16" x14ac:dyDescent="0.3">
      <c r="B23" s="67" t="s">
        <v>146</v>
      </c>
      <c r="C23" s="68">
        <f ca="1">C21/$C$5</f>
        <v>0</v>
      </c>
      <c r="D23" s="69"/>
      <c r="E23" s="68">
        <f ca="1">E21/$C$5</f>
        <v>0</v>
      </c>
      <c r="F23" s="69"/>
      <c r="G23" s="68">
        <f ca="1">G21/$C$5</f>
        <v>0</v>
      </c>
      <c r="H23" s="69"/>
      <c r="I23" s="68">
        <f ca="1">I21/$C$5</f>
        <v>0</v>
      </c>
      <c r="J23" s="69"/>
      <c r="K23" s="68">
        <f ca="1">K21/$C$5</f>
        <v>0</v>
      </c>
      <c r="L23" s="69"/>
      <c r="M23" s="68">
        <f ca="1">M21/$C$5</f>
        <v>0</v>
      </c>
      <c r="N23" s="69"/>
      <c r="O23" s="70">
        <f ca="1">O21/C5</f>
        <v>0</v>
      </c>
      <c r="P23" s="70"/>
    </row>
    <row r="25" spans="2:16" ht="26.25" customHeight="1" x14ac:dyDescent="0.3">
      <c r="B25" s="142"/>
      <c r="C25" s="75"/>
      <c r="D25" s="75"/>
      <c r="E25" s="75"/>
      <c r="F25" s="74"/>
      <c r="G25" s="74"/>
      <c r="H25" s="74"/>
      <c r="I25" s="74"/>
      <c r="J25" s="76"/>
    </row>
    <row r="26" spans="2:16" ht="43.2" x14ac:dyDescent="0.3">
      <c r="B26" s="143" t="s">
        <v>78</v>
      </c>
      <c r="C26" s="144" t="s">
        <v>207</v>
      </c>
      <c r="D26" s="144" t="s">
        <v>208</v>
      </c>
      <c r="E26" s="144" t="s">
        <v>209</v>
      </c>
      <c r="F26" s="144" t="s">
        <v>210</v>
      </c>
      <c r="G26" s="144" t="s">
        <v>211</v>
      </c>
      <c r="H26" s="144" t="s">
        <v>212</v>
      </c>
      <c r="I26" s="145" t="s">
        <v>143</v>
      </c>
      <c r="J26" s="146" t="s">
        <v>144</v>
      </c>
    </row>
    <row r="27" spans="2:16" x14ac:dyDescent="0.3">
      <c r="B27" s="52" t="s">
        <v>28</v>
      </c>
      <c r="C27" s="53">
        <f>SUMIFS(LANC_FAT[VALOR DA NF COM IMPOSTO],LANC_FAT[DATA EMISSÃO],"&gt;="&amp;CALENDARIO!B2,LANC_FAT[DATA EMISSÃO],"&lt;="&amp;CALENDARIO!C2,LANC_FAT[NATUREZA],"KIT/REV.")</f>
        <v>0</v>
      </c>
      <c r="D27" s="54" t="str">
        <f>IFERROR(C27/I27,"")</f>
        <v/>
      </c>
      <c r="E27" s="53">
        <f>SUMIFS(LANC_FAT[VALOR DA NF COM IMPOSTO],LANC_FAT[DATA EMISSÃO],"&gt;="&amp;CALENDARIO!B2,LANC_FAT[DATA EMISSÃO],"&lt;="&amp;CALENDARIO!C2,LANC_FAT[NATUREZA],"SERVIÇO")</f>
        <v>0</v>
      </c>
      <c r="F27" s="54" t="str">
        <f t="shared" ref="F27:F38" si="6">IFERROR(E27/I27,"")</f>
        <v/>
      </c>
      <c r="G27" s="53">
        <f>SUMIFS(LANC_FAT[VALOR DA NF COM IMPOSTO],LANC_FAT[DATA EMISSÃO],"&gt;="&amp;CALENDARIO!B2,LANC_FAT[DATA EMISSÃO],"&lt;="&amp;CALENDARIO!C2,LANC_FAT[NATUREZA],"INDUST.")</f>
        <v>0</v>
      </c>
      <c r="H27" s="54" t="str">
        <f t="shared" ref="H27:H38" si="7">IFERROR(G27/I27,"")</f>
        <v/>
      </c>
      <c r="I27" s="147">
        <f>Tabela41115[[#This Row],[(R$) KIT/REV]]+Tabela41115[[#This Row],[(R$) SERVIÇOS (OS)]]+Tabela41115[[#This Row],[(R$) IND]]</f>
        <v>0</v>
      </c>
      <c r="J27" s="148" t="str">
        <f>IFERROR(H27+F27+D27+#REF!,"")</f>
        <v/>
      </c>
    </row>
    <row r="28" spans="2:16" x14ac:dyDescent="0.3">
      <c r="B28" s="52" t="s">
        <v>30</v>
      </c>
      <c r="C28" s="53">
        <f>SUMIFS(LANC_FAT[VALOR DA NF COM IMPOSTO],LANC_FAT[DATA EMISSÃO],"&gt;="&amp;CALENDARIO!B3,LANC_FAT[DATA EMISSÃO],"&lt;="&amp;CALENDARIO!C3,LANC_FAT[NATUREZA],"KIT/REV.")</f>
        <v>0</v>
      </c>
      <c r="D28" s="54" t="str">
        <f t="shared" ref="D28:D38" si="8">IFERROR(C28/I28,"")</f>
        <v/>
      </c>
      <c r="E28" s="53">
        <f>SUMIFS(LANC_FAT[VALOR DA NF COM IMPOSTO],LANC_FAT[DATA EMISSÃO],"&gt;="&amp;CALENDARIO!B3,LANC_FAT[DATA EMISSÃO],"&lt;="&amp;CALENDARIO!C3,LANC_FAT[NATUREZA],"SERVIÇO")</f>
        <v>0</v>
      </c>
      <c r="F28" s="54" t="str">
        <f t="shared" si="6"/>
        <v/>
      </c>
      <c r="G28" s="53">
        <f>SUMIFS(LANC_FAT[VALOR DA NF COM IMPOSTO],LANC_FAT[DATA EMISSÃO],"&gt;="&amp;CALENDARIO!B3,LANC_FAT[DATA EMISSÃO],"&lt;="&amp;CALENDARIO!C3,LANC_FAT[NATUREZA],"INDUST.")</f>
        <v>0</v>
      </c>
      <c r="H28" s="54" t="str">
        <f t="shared" si="7"/>
        <v/>
      </c>
      <c r="I28" s="147">
        <f>Tabela41115[[#This Row],[(R$) KIT/REV]]+Tabela41115[[#This Row],[(R$) SERVIÇOS (OS)]]+Tabela41115[[#This Row],[(R$) IND]]</f>
        <v>0</v>
      </c>
      <c r="J28" s="148" t="str">
        <f>IFERROR(H28+F28+D28+#REF!,"")</f>
        <v/>
      </c>
    </row>
    <row r="29" spans="2:16" x14ac:dyDescent="0.3">
      <c r="B29" s="52" t="s">
        <v>90</v>
      </c>
      <c r="C29" s="53">
        <f>SUMIFS(LANC_FAT[VALOR DA NF COM IMPOSTO],LANC_FAT[DATA EMISSÃO],"&gt;="&amp;CALENDARIO!B4,LANC_FAT[DATA EMISSÃO],"&lt;="&amp;CALENDARIO!C4,LANC_FAT[NATUREZA],"KIT/REV.")</f>
        <v>0</v>
      </c>
      <c r="D29" s="54" t="str">
        <f t="shared" si="8"/>
        <v/>
      </c>
      <c r="E29" s="53">
        <f>SUMIFS(LANC_FAT[VALOR DA NF COM IMPOSTO],LANC_FAT[DATA EMISSÃO],"&gt;="&amp;CALENDARIO!B4,LANC_FAT[DATA EMISSÃO],"&lt;="&amp;CALENDARIO!C4,LANC_FAT[NATUREZA],"SERVIÇO")</f>
        <v>0</v>
      </c>
      <c r="F29" s="54" t="str">
        <f t="shared" si="6"/>
        <v/>
      </c>
      <c r="G29" s="53">
        <f>SUMIFS(LANC_FAT[VALOR DA NF COM IMPOSTO],LANC_FAT[DATA EMISSÃO],"&gt;="&amp;CALENDARIO!B4,LANC_FAT[DATA EMISSÃO],"&lt;="&amp;CALENDARIO!C4,LANC_FAT[NATUREZA],"INDUST.")</f>
        <v>0</v>
      </c>
      <c r="H29" s="54" t="str">
        <f t="shared" si="7"/>
        <v/>
      </c>
      <c r="I29" s="147">
        <f>Tabela41115[[#This Row],[(R$) KIT/REV]]+Tabela41115[[#This Row],[(R$) SERVIÇOS (OS)]]+Tabela41115[[#This Row],[(R$) IND]]</f>
        <v>0</v>
      </c>
      <c r="J29" s="148" t="str">
        <f>IFERROR(H29+F29+D29+#REF!,"")</f>
        <v/>
      </c>
    </row>
    <row r="30" spans="2:16" x14ac:dyDescent="0.3">
      <c r="B30" s="52" t="s">
        <v>91</v>
      </c>
      <c r="C30" s="53">
        <f>SUMIFS(LANC_FAT[VALOR DA NF COM IMPOSTO],LANC_FAT[DATA EMISSÃO],"&gt;="&amp;CALENDARIO!B5,LANC_FAT[DATA EMISSÃO],"&lt;="&amp;CALENDARIO!C5,LANC_FAT[NATUREZA],"KIT/REV.")</f>
        <v>0</v>
      </c>
      <c r="D30" s="54" t="str">
        <f t="shared" si="8"/>
        <v/>
      </c>
      <c r="E30" s="53">
        <f>SUMIFS(LANC_FAT[VALOR DA NF COM IMPOSTO],LANC_FAT[DATA EMISSÃO],"&gt;="&amp;CALENDARIO!B5,LANC_FAT[DATA EMISSÃO],"&lt;="&amp;CALENDARIO!C5,LANC_FAT[NATUREZA],"SERVIÇO")</f>
        <v>0</v>
      </c>
      <c r="F30" s="54" t="str">
        <f t="shared" si="6"/>
        <v/>
      </c>
      <c r="G30" s="53">
        <f>SUMIFS(LANC_FAT[VALOR DA NF COM IMPOSTO],LANC_FAT[DATA EMISSÃO],"&gt;="&amp;CALENDARIO!B5,LANC_FAT[DATA EMISSÃO],"&lt;="&amp;CALENDARIO!C5,LANC_FAT[NATUREZA],"INDUST.")</f>
        <v>0</v>
      </c>
      <c r="H30" s="54" t="str">
        <f t="shared" si="7"/>
        <v/>
      </c>
      <c r="I30" s="147">
        <f>Tabela41115[[#This Row],[(R$) KIT/REV]]+Tabela41115[[#This Row],[(R$) SERVIÇOS (OS)]]+Tabela41115[[#This Row],[(R$) IND]]</f>
        <v>0</v>
      </c>
      <c r="J30" s="148" t="str">
        <f>IFERROR(H30+F30+D30+#REF!,"")</f>
        <v/>
      </c>
    </row>
    <row r="31" spans="2:16" x14ac:dyDescent="0.3">
      <c r="B31" s="52" t="s">
        <v>92</v>
      </c>
      <c r="C31" s="53">
        <f>SUMIFS(LANC_FAT[VALOR DA NF COM IMPOSTO],LANC_FAT[DATA EMISSÃO],"&gt;="&amp;CALENDARIO!B6,LANC_FAT[DATA EMISSÃO],"&lt;="&amp;CALENDARIO!C6,LANC_FAT[NATUREZA],"KIT/REV.")</f>
        <v>0</v>
      </c>
      <c r="D31" s="54" t="str">
        <f t="shared" si="8"/>
        <v/>
      </c>
      <c r="E31" s="53">
        <f>SUMIFS(LANC_FAT[VALOR DA NF COM IMPOSTO],LANC_FAT[DATA EMISSÃO],"&gt;="&amp;CALENDARIO!B6,LANC_FAT[DATA EMISSÃO],"&lt;="&amp;CALENDARIO!C6,LANC_FAT[NATUREZA],"SERVIÇO")</f>
        <v>0</v>
      </c>
      <c r="F31" s="54" t="str">
        <f t="shared" si="6"/>
        <v/>
      </c>
      <c r="G31" s="53">
        <f>SUMIFS(LANC_FAT[VALOR DA NF COM IMPOSTO],LANC_FAT[DATA EMISSÃO],"&gt;="&amp;CALENDARIO!B6,LANC_FAT[DATA EMISSÃO],"&lt;="&amp;CALENDARIO!C6,LANC_FAT[NATUREZA],"INDUST.")</f>
        <v>0</v>
      </c>
      <c r="H31" s="54" t="str">
        <f t="shared" si="7"/>
        <v/>
      </c>
      <c r="I31" s="147">
        <f>Tabela41115[[#This Row],[(R$) KIT/REV]]+Tabela41115[[#This Row],[(R$) SERVIÇOS (OS)]]+Tabela41115[[#This Row],[(R$) IND]]</f>
        <v>0</v>
      </c>
      <c r="J31" s="148" t="str">
        <f>IFERROR(H31+F31+D31+#REF!,"")</f>
        <v/>
      </c>
    </row>
    <row r="32" spans="2:16" x14ac:dyDescent="0.3">
      <c r="B32" s="52" t="s">
        <v>93</v>
      </c>
      <c r="C32" s="53">
        <f>SUMIFS(LANC_FAT[VALOR DA NF COM IMPOSTO],LANC_FAT[DATA EMISSÃO],"&gt;="&amp;CALENDARIO!B7,LANC_FAT[DATA EMISSÃO],"&lt;="&amp;CALENDARIO!C7,LANC_FAT[NATUREZA],"KIT/REV.")</f>
        <v>0</v>
      </c>
      <c r="D32" s="54" t="str">
        <f t="shared" si="8"/>
        <v/>
      </c>
      <c r="E32" s="53">
        <f>SUMIFS(LANC_FAT[VALOR DA NF COM IMPOSTO],LANC_FAT[DATA EMISSÃO],"&gt;="&amp;CALENDARIO!B7,LANC_FAT[DATA EMISSÃO],"&lt;="&amp;CALENDARIO!C7,LANC_FAT[NATUREZA],"SERVIÇO")</f>
        <v>0</v>
      </c>
      <c r="F32" s="54" t="str">
        <f t="shared" si="6"/>
        <v/>
      </c>
      <c r="G32" s="53">
        <f>SUMIFS(LANC_FAT[VALOR DA NF COM IMPOSTO],LANC_FAT[DATA EMISSÃO],"&gt;="&amp;CALENDARIO!B7,LANC_FAT[DATA EMISSÃO],"&lt;="&amp;CALENDARIO!C7,LANC_FAT[NATUREZA],"INDUST.")</f>
        <v>0</v>
      </c>
      <c r="H32" s="54" t="str">
        <f t="shared" si="7"/>
        <v/>
      </c>
      <c r="I32" s="147">
        <f>Tabela41115[[#This Row],[(R$) KIT/REV]]+Tabela41115[[#This Row],[(R$) SERVIÇOS (OS)]]+Tabela41115[[#This Row],[(R$) IND]]</f>
        <v>0</v>
      </c>
      <c r="J32" s="148" t="str">
        <f>IFERROR(H32+F32+D32+#REF!,"")</f>
        <v/>
      </c>
    </row>
    <row r="33" spans="2:10" x14ac:dyDescent="0.3">
      <c r="B33" s="52" t="s">
        <v>94</v>
      </c>
      <c r="C33" s="53">
        <f>SUMIFS(LANC_FAT[VALOR DA NF COM IMPOSTO],LANC_FAT[DATA EMISSÃO],"&gt;="&amp;CALENDARIO!B8,LANC_FAT[DATA EMISSÃO],"&lt;="&amp;CALENDARIO!C8,LANC_FAT[NATUREZA],"KIT/REV.")</f>
        <v>0</v>
      </c>
      <c r="D33" s="54" t="str">
        <f t="shared" si="8"/>
        <v/>
      </c>
      <c r="E33" s="53">
        <f>SUMIFS(LANC_FAT[VALOR DA NF COM IMPOSTO],LANC_FAT[DATA EMISSÃO],"&gt;="&amp;CALENDARIO!B8,LANC_FAT[DATA EMISSÃO],"&lt;="&amp;CALENDARIO!C8,LANC_FAT[NATUREZA],"SERVIÇO")</f>
        <v>0</v>
      </c>
      <c r="F33" s="54" t="str">
        <f t="shared" si="6"/>
        <v/>
      </c>
      <c r="G33" s="53">
        <f>SUMIFS(LANC_FAT[VALOR DA NF COM IMPOSTO],LANC_FAT[DATA EMISSÃO],"&gt;="&amp;CALENDARIO!B8,LANC_FAT[DATA EMISSÃO],"&lt;="&amp;CALENDARIO!C8,LANC_FAT[NATUREZA],"INDUST.")</f>
        <v>0</v>
      </c>
      <c r="H33" s="54" t="str">
        <f t="shared" si="7"/>
        <v/>
      </c>
      <c r="I33" s="147">
        <f>Tabela41115[[#This Row],[(R$) KIT/REV]]+Tabela41115[[#This Row],[(R$) SERVIÇOS (OS)]]+Tabela41115[[#This Row],[(R$) IND]]</f>
        <v>0</v>
      </c>
      <c r="J33" s="148" t="str">
        <f>IFERROR(H33+F33+D33+#REF!,"")</f>
        <v/>
      </c>
    </row>
    <row r="34" spans="2:10" x14ac:dyDescent="0.3">
      <c r="B34" s="52" t="s">
        <v>95</v>
      </c>
      <c r="C34" s="53">
        <f>SUMIFS(LANC_FAT[VALOR DA NF COM IMPOSTO],LANC_FAT[DATA EMISSÃO],"&gt;="&amp;CALENDARIO!B9,LANC_FAT[DATA EMISSÃO],"&lt;="&amp;CALENDARIO!C9,LANC_FAT[NATUREZA],"KIT/REV.")</f>
        <v>0</v>
      </c>
      <c r="D34" s="54" t="str">
        <f t="shared" si="8"/>
        <v/>
      </c>
      <c r="E34" s="53">
        <f>SUMIFS(LANC_FAT[VALOR DA NF COM IMPOSTO],LANC_FAT[DATA EMISSÃO],"&gt;="&amp;CALENDARIO!B9,LANC_FAT[DATA EMISSÃO],"&lt;="&amp;CALENDARIO!C9,LANC_FAT[NATUREZA],"SERVIÇO")</f>
        <v>0</v>
      </c>
      <c r="F34" s="54" t="str">
        <f t="shared" si="6"/>
        <v/>
      </c>
      <c r="G34" s="53">
        <f>SUMIFS(LANC_FAT[VALOR DA NF COM IMPOSTO],LANC_FAT[DATA EMISSÃO],"&gt;="&amp;CALENDARIO!B9,LANC_FAT[DATA EMISSÃO],"&lt;="&amp;CALENDARIO!C9,LANC_FAT[NATUREZA],"INDUST.")</f>
        <v>0</v>
      </c>
      <c r="H34" s="54" t="str">
        <f t="shared" si="7"/>
        <v/>
      </c>
      <c r="I34" s="147">
        <f>Tabela41115[[#This Row],[(R$) KIT/REV]]+Tabela41115[[#This Row],[(R$) SERVIÇOS (OS)]]+Tabela41115[[#This Row],[(R$) IND]]</f>
        <v>0</v>
      </c>
      <c r="J34" s="148" t="str">
        <f>IFERROR(H34+F34+D34+#REF!,"")</f>
        <v/>
      </c>
    </row>
    <row r="35" spans="2:10" x14ac:dyDescent="0.3">
      <c r="B35" s="52" t="s">
        <v>96</v>
      </c>
      <c r="C35" s="53">
        <f>SUMIFS(LANC_FAT[VALOR DA NF COM IMPOSTO],LANC_FAT[DATA EMISSÃO],"&gt;="&amp;CALENDARIO!B10,LANC_FAT[DATA EMISSÃO],"&lt;="&amp;CALENDARIO!C10,LANC_FAT[NATUREZA],"KIT/REV.")</f>
        <v>0</v>
      </c>
      <c r="D35" s="54" t="str">
        <f t="shared" si="8"/>
        <v/>
      </c>
      <c r="E35" s="53">
        <f>SUMIFS(LANC_FAT[VALOR DA NF COM IMPOSTO],LANC_FAT[DATA EMISSÃO],"&gt;="&amp;CALENDARIO!B10,LANC_FAT[DATA EMISSÃO],"&lt;="&amp;CALENDARIO!C10,LANC_FAT[NATUREZA],"SERVIÇO")</f>
        <v>0</v>
      </c>
      <c r="F35" s="54" t="str">
        <f t="shared" si="6"/>
        <v/>
      </c>
      <c r="G35" s="53">
        <f>SUMIFS(LANC_FAT[VALOR DA NF COM IMPOSTO],LANC_FAT[DATA EMISSÃO],"&gt;="&amp;CALENDARIO!B10,LANC_FAT[DATA EMISSÃO],"&lt;="&amp;CALENDARIO!C10,LANC_FAT[NATUREZA],"INDUST.")</f>
        <v>0</v>
      </c>
      <c r="H35" s="54" t="str">
        <f t="shared" si="7"/>
        <v/>
      </c>
      <c r="I35" s="147">
        <f>Tabela41115[[#This Row],[(R$) KIT/REV]]+Tabela41115[[#This Row],[(R$) SERVIÇOS (OS)]]+Tabela41115[[#This Row],[(R$) IND]]</f>
        <v>0</v>
      </c>
      <c r="J35" s="148" t="str">
        <f>IFERROR(H35+F35+D35+#REF!,"")</f>
        <v/>
      </c>
    </row>
    <row r="36" spans="2:10" x14ac:dyDescent="0.3">
      <c r="B36" s="52" t="s">
        <v>97</v>
      </c>
      <c r="C36" s="53">
        <f>SUMIFS(LANC_FAT[VALOR DA NF COM IMPOSTO],LANC_FAT[DATA EMISSÃO],"&gt;="&amp;CALENDARIO!B11,LANC_FAT[DATA EMISSÃO],"&lt;="&amp;CALENDARIO!C11,LANC_FAT[NATUREZA],"KIT/REV.")</f>
        <v>0</v>
      </c>
      <c r="D36" s="54" t="str">
        <f t="shared" si="8"/>
        <v/>
      </c>
      <c r="E36" s="53">
        <f>SUMIFS(LANC_FAT[VALOR DA NF COM IMPOSTO],LANC_FAT[DATA EMISSÃO],"&gt;="&amp;CALENDARIO!B11,LANC_FAT[DATA EMISSÃO],"&lt;="&amp;CALENDARIO!C11,LANC_FAT[NATUREZA],"SERVIÇO")</f>
        <v>0</v>
      </c>
      <c r="F36" s="54" t="str">
        <f t="shared" si="6"/>
        <v/>
      </c>
      <c r="G36" s="53">
        <f>SUMIFS(LANC_FAT[VALOR DA NF COM IMPOSTO],LANC_FAT[DATA EMISSÃO],"&gt;="&amp;CALENDARIO!B11,LANC_FAT[DATA EMISSÃO],"&lt;="&amp;CALENDARIO!C11,LANC_FAT[NATUREZA],"INDUST.")</f>
        <v>0</v>
      </c>
      <c r="H36" s="54" t="str">
        <f t="shared" si="7"/>
        <v/>
      </c>
      <c r="I36" s="147">
        <f>Tabela41115[[#This Row],[(R$) KIT/REV]]+Tabela41115[[#This Row],[(R$) SERVIÇOS (OS)]]+Tabela41115[[#This Row],[(R$) IND]]</f>
        <v>0</v>
      </c>
      <c r="J36" s="148" t="str">
        <f>IFERROR(H36+F36+D36+#REF!,"")</f>
        <v/>
      </c>
    </row>
    <row r="37" spans="2:10" x14ac:dyDescent="0.3">
      <c r="B37" s="52" t="s">
        <v>98</v>
      </c>
      <c r="C37" s="53">
        <f>SUMIFS(LANC_FAT[VALOR DA NF COM IMPOSTO],LANC_FAT[DATA EMISSÃO],"&gt;="&amp;CALENDARIO!B12,LANC_FAT[DATA EMISSÃO],"&lt;="&amp;CALENDARIO!C12,LANC_FAT[NATUREZA],"KIT/REV.")</f>
        <v>0</v>
      </c>
      <c r="D37" s="54" t="str">
        <f t="shared" si="8"/>
        <v/>
      </c>
      <c r="E37" s="53">
        <f>SUMIFS(LANC_FAT[VALOR DA NF COM IMPOSTO],LANC_FAT[DATA EMISSÃO],"&gt;="&amp;CALENDARIO!B12,LANC_FAT[DATA EMISSÃO],"&lt;="&amp;CALENDARIO!C12,LANC_FAT[NATUREZA],"SERVIÇO")</f>
        <v>0</v>
      </c>
      <c r="F37" s="54" t="str">
        <f t="shared" si="6"/>
        <v/>
      </c>
      <c r="G37" s="53">
        <f>SUMIFS(LANC_FAT[VALOR DA NF COM IMPOSTO],LANC_FAT[DATA EMISSÃO],"&gt;="&amp;CALENDARIO!B12,LANC_FAT[DATA EMISSÃO],"&lt;="&amp;CALENDARIO!C12,LANC_FAT[NATUREZA],"INDUST.")</f>
        <v>0</v>
      </c>
      <c r="H37" s="54" t="str">
        <f t="shared" si="7"/>
        <v/>
      </c>
      <c r="I37" s="147">
        <f>Tabela41115[[#This Row],[(R$) KIT/REV]]+Tabela41115[[#This Row],[(R$) SERVIÇOS (OS)]]+Tabela41115[[#This Row],[(R$) IND]]</f>
        <v>0</v>
      </c>
      <c r="J37" s="148" t="str">
        <f>IFERROR(H37+F37+D37+#REF!,"")</f>
        <v/>
      </c>
    </row>
    <row r="38" spans="2:10" x14ac:dyDescent="0.3">
      <c r="B38" s="52" t="s">
        <v>99</v>
      </c>
      <c r="C38" s="53">
        <f>SUMIFS(LANC_FAT[VALOR DA NF COM IMPOSTO],LANC_FAT[DATA EMISSÃO],"&gt;="&amp;CALENDARIO!B13,LANC_FAT[DATA EMISSÃO],"&lt;="&amp;CALENDARIO!C13,LANC_FAT[NATUREZA],"KIT/REV.")</f>
        <v>0</v>
      </c>
      <c r="D38" s="54" t="str">
        <f t="shared" si="8"/>
        <v/>
      </c>
      <c r="E38" s="53">
        <f>SUMIFS(LANC_FAT[VALOR DA NF COM IMPOSTO],LANC_FAT[DATA EMISSÃO],"&gt;="&amp;CALENDARIO!B13,LANC_FAT[DATA EMISSÃO],"&lt;="&amp;CALENDARIO!C13,LANC_FAT[NATUREZA],"SERVIÇO")</f>
        <v>0</v>
      </c>
      <c r="F38" s="54" t="str">
        <f t="shared" si="6"/>
        <v/>
      </c>
      <c r="G38" s="53">
        <f>SUMIFS(LANC_FAT[VALOR DA NF COM IMPOSTO],LANC_FAT[DATA EMISSÃO],"&gt;="&amp;CALENDARIO!B13,LANC_FAT[DATA EMISSÃO],"&lt;="&amp;CALENDARIO!C13,LANC_FAT[NATUREZA],"INDUST.")</f>
        <v>0</v>
      </c>
      <c r="H38" s="54" t="str">
        <f t="shared" si="7"/>
        <v/>
      </c>
      <c r="I38" s="147">
        <f>Tabela41115[[#This Row],[(R$) KIT/REV]]+Tabela41115[[#This Row],[(R$) SERVIÇOS (OS)]]+Tabela41115[[#This Row],[(R$) IND]]</f>
        <v>0</v>
      </c>
      <c r="J38" s="148" t="str">
        <f>IFERROR(H38+F38+D38+#REF!,"")</f>
        <v/>
      </c>
    </row>
    <row r="39" spans="2:10" x14ac:dyDescent="0.3">
      <c r="B39" s="58" t="s">
        <v>143</v>
      </c>
      <c r="C39" s="59">
        <f>SUM(C27:C38)</f>
        <v>0</v>
      </c>
      <c r="D39" s="60"/>
      <c r="E39" s="59">
        <f>SUBTOTAL(109,E27:E38)</f>
        <v>0</v>
      </c>
      <c r="F39" s="60"/>
      <c r="G39" s="59">
        <f>SUBTOTAL(109,G27:G38)</f>
        <v>0</v>
      </c>
      <c r="H39" s="60"/>
      <c r="I39" s="59">
        <f>SUM(I27:I38)</f>
        <v>0</v>
      </c>
      <c r="J39" s="149"/>
    </row>
    <row r="40" spans="2:10" x14ac:dyDescent="0.3">
      <c r="B40" s="52" t="s">
        <v>145</v>
      </c>
      <c r="C40" s="64" t="e">
        <f>C39/I39</f>
        <v>#DIV/0!</v>
      </c>
      <c r="D40" s="61"/>
      <c r="E40" s="64" t="e">
        <f>E39/I39</f>
        <v>#DIV/0!</v>
      </c>
      <c r="F40" s="61"/>
      <c r="G40" s="64" t="e">
        <f>G39/I39</f>
        <v>#DIV/0!</v>
      </c>
      <c r="H40" s="61"/>
      <c r="I40" s="150" t="e">
        <f>Tabela41115[[#This Row],[(R$) KIT/REV]]+Tabela41115[[#This Row],[(R$) SERVIÇOS (OS)]]+Tabela41115[[#This Row],[(R$) IND]]</f>
        <v>#DIV/0!</v>
      </c>
      <c r="J40" s="151"/>
    </row>
    <row r="41" spans="2:10" x14ac:dyDescent="0.3">
      <c r="B41" s="67" t="s">
        <v>146</v>
      </c>
      <c r="C41" s="68">
        <f ca="1">C39/C5</f>
        <v>0</v>
      </c>
      <c r="D41" s="69"/>
      <c r="E41" s="68">
        <f ca="1">E39/C5</f>
        <v>0</v>
      </c>
      <c r="F41" s="69"/>
      <c r="G41" s="68">
        <f ca="1">G39/C5</f>
        <v>0</v>
      </c>
      <c r="H41" s="69"/>
      <c r="I41" s="152">
        <f ca="1">Tabela41115[[#This Row],[(R$) KIT/REV]]+Tabela41115[[#This Row],[(R$) SERVIÇOS (OS)]]+Tabela41115[[#This Row],[(R$) IND]]</f>
        <v>0</v>
      </c>
      <c r="J41" s="152"/>
    </row>
  </sheetData>
  <mergeCells count="8">
    <mergeCell ref="O7:P7"/>
    <mergeCell ref="F6:O6"/>
    <mergeCell ref="C7:D7"/>
    <mergeCell ref="E7:F7"/>
    <mergeCell ref="G7:H7"/>
    <mergeCell ref="I7:J7"/>
    <mergeCell ref="K7:L7"/>
    <mergeCell ref="M7:N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6" r:id="rId4" name="Button 30">
              <controlPr defaultSize="0" print="0" autoFill="0" autoPict="0" macro="[0]!IR_HOME">
                <anchor>
                  <from>
                    <xdr:col>1</xdr:col>
                    <xdr:colOff>1135380</xdr:colOff>
                    <xdr:row>0</xdr:row>
                    <xdr:rowOff>114300</xdr:rowOff>
                  </from>
                  <to>
                    <xdr:col>2</xdr:col>
                    <xdr:colOff>365760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5" name="Button 31">
              <controlPr defaultSize="0" print="0" autoFill="0" autoPict="0" macro="[0]!IR_DIN_LAN_FATU">
                <anchor>
                  <from>
                    <xdr:col>2</xdr:col>
                    <xdr:colOff>434340</xdr:colOff>
                    <xdr:row>0</xdr:row>
                    <xdr:rowOff>114300</xdr:rowOff>
                  </from>
                  <to>
                    <xdr:col>3</xdr:col>
                    <xdr:colOff>205740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6" name="Button 32">
              <controlPr defaultSize="0" print="0" autoFill="0" autoPict="0" macro="[0]!IR_DIN_LAN_OP">
                <anchor>
                  <from>
                    <xdr:col>3</xdr:col>
                    <xdr:colOff>266700</xdr:colOff>
                    <xdr:row>0</xdr:row>
                    <xdr:rowOff>114300</xdr:rowOff>
                  </from>
                  <to>
                    <xdr:col>4</xdr:col>
                    <xdr:colOff>426720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" name="Button 33">
              <controlPr defaultSize="0" print="0" autoFill="0" autoPict="0" macro="[0]!IR_DIN_LAN_COMPRA">
                <anchor>
                  <from>
                    <xdr:col>4</xdr:col>
                    <xdr:colOff>487680</xdr:colOff>
                    <xdr:row>0</xdr:row>
                    <xdr:rowOff>114300</xdr:rowOff>
                  </from>
                  <to>
                    <xdr:col>5</xdr:col>
                    <xdr:colOff>312420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8" name="Button 34">
              <controlPr defaultSize="0" print="0" autoFill="0" autoPict="0" macro="[0]!IR_DIN_LAN_DESP">
                <anchor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6</xdr:col>
                    <xdr:colOff>701040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9" name="Button 35">
              <controlPr defaultSize="0" print="0" autoFill="0" autoPict="0" macro="[0]!IR_DIN_LAN_DESL">
                <anchor>
                  <from>
                    <xdr:col>6</xdr:col>
                    <xdr:colOff>762000</xdr:colOff>
                    <xdr:row>0</xdr:row>
                    <xdr:rowOff>114300</xdr:rowOff>
                  </from>
                  <to>
                    <xdr:col>7</xdr:col>
                    <xdr:colOff>594360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10" name="Button 36">
              <controlPr defaultSize="0" print="0" autoFill="0" autoPict="0" macro="[0]!IR_DIN_LAN_HORAS">
                <anchor>
                  <from>
                    <xdr:col>7</xdr:col>
                    <xdr:colOff>655320</xdr:colOff>
                    <xdr:row>0</xdr:row>
                    <xdr:rowOff>114300</xdr:rowOff>
                  </from>
                  <to>
                    <xdr:col>8</xdr:col>
                    <xdr:colOff>845820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11" name="Button 38">
              <controlPr defaultSize="0" print="0" autoFill="0" autoPict="0" macro="[0]!IR_DIN_LAN_FATU_EXTRA">
                <anchor>
                  <from>
                    <xdr:col>8</xdr:col>
                    <xdr:colOff>914400</xdr:colOff>
                    <xdr:row>0</xdr:row>
                    <xdr:rowOff>114300</xdr:rowOff>
                  </from>
                  <to>
                    <xdr:col>10</xdr:col>
                    <xdr:colOff>106680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12" name="Button 39">
              <controlPr defaultSize="0" autoFill="0" autoPict="0" macro="[0]!IR_DIN_LAN_ORC">
                <anchor>
                  <from>
                    <xdr:col>10</xdr:col>
                    <xdr:colOff>152400</xdr:colOff>
                    <xdr:row>0</xdr:row>
                    <xdr:rowOff>114300</xdr:rowOff>
                  </from>
                  <to>
                    <xdr:col>11</xdr:col>
                    <xdr:colOff>106680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13" name="Button 40">
              <controlPr defaultSize="0" autoFill="0" autoPict="0" macro="[0]!IR_RESUMO_FAT">
                <anchor>
                  <from>
                    <xdr:col>11</xdr:col>
                    <xdr:colOff>144780</xdr:colOff>
                    <xdr:row>0</xdr:row>
                    <xdr:rowOff>114300</xdr:rowOff>
                  </from>
                  <to>
                    <xdr:col>12</xdr:col>
                    <xdr:colOff>495300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4" name="Button 41">
              <controlPr defaultSize="0" autoFill="0" autoPict="0" macro="[0]!IR_DIN_AP">
                <anchor>
                  <from>
                    <xdr:col>12</xdr:col>
                    <xdr:colOff>541020</xdr:colOff>
                    <xdr:row>0</xdr:row>
                    <xdr:rowOff>114300</xdr:rowOff>
                  </from>
                  <to>
                    <xdr:col>13</xdr:col>
                    <xdr:colOff>502920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tableParts count="2"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CALENDARIO!$A$16:$N$16</xm:f>
          </x14:formula1>
          <xm:sqref>P1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theme="8" tint="0.59999389629810485"/>
  </sheetPr>
  <dimension ref="A1:AN98"/>
  <sheetViews>
    <sheetView showGridLines="0" zoomScale="85" zoomScaleNormal="85" workbookViewId="0">
      <pane xSplit="3" ySplit="4" topLeftCell="D5" activePane="bottomRight" state="frozen"/>
      <selection activeCell="H30" sqref="H30"/>
      <selection pane="topRight" activeCell="H30" sqref="H30"/>
      <selection pane="bottomLeft" activeCell="H30" sqref="H30"/>
      <selection pane="bottomRight" activeCell="R5" sqref="R5:S15"/>
    </sheetView>
  </sheetViews>
  <sheetFormatPr defaultColWidth="9.109375" defaultRowHeight="14.4" outlineLevelCol="1" x14ac:dyDescent="0.3"/>
  <cols>
    <col min="1" max="1" width="16" customWidth="1"/>
    <col min="2" max="2" width="21" bestFit="1" customWidth="1"/>
    <col min="3" max="4" width="16.5546875" bestFit="1" customWidth="1"/>
    <col min="5" max="5" width="19.109375" customWidth="1"/>
    <col min="6" max="6" width="10.88671875" customWidth="1"/>
    <col min="7" max="7" width="19.44140625" style="3" customWidth="1"/>
    <col min="8" max="8" width="21.33203125" style="3" bestFit="1" customWidth="1"/>
    <col min="9" max="9" width="19" bestFit="1" customWidth="1"/>
    <col min="10" max="10" width="20.33203125" bestFit="1" customWidth="1"/>
    <col min="11" max="11" width="8.6640625" style="1" bestFit="1" customWidth="1"/>
    <col min="12" max="12" width="15.44140625" style="1" bestFit="1" customWidth="1"/>
    <col min="13" max="13" width="15.109375" style="1" bestFit="1" customWidth="1"/>
    <col min="14" max="14" width="14.5546875" style="1" bestFit="1" customWidth="1"/>
    <col min="15" max="15" width="27.5546875" style="1" customWidth="1"/>
    <col min="16" max="16" width="17.33203125" style="3" bestFit="1" customWidth="1"/>
    <col min="17" max="17" width="19.33203125" style="4" bestFit="1" customWidth="1"/>
    <col min="18" max="18" width="17.6640625" style="8" bestFit="1" customWidth="1"/>
    <col min="19" max="19" width="22.6640625" style="9" bestFit="1" customWidth="1"/>
    <col min="20" max="20" width="21.33203125" style="10" bestFit="1" customWidth="1"/>
    <col min="21" max="21" width="28.88671875" style="3" bestFit="1" customWidth="1"/>
    <col min="22" max="22" width="30.109375" style="10" customWidth="1"/>
    <col min="23" max="23" width="43.109375" style="10" customWidth="1"/>
    <col min="24" max="24" width="40.6640625" style="10" hidden="1" customWidth="1" outlineLevel="1"/>
    <col min="25" max="25" width="25" style="10" hidden="1" customWidth="1" outlineLevel="1"/>
    <col min="26" max="26" width="22.6640625" style="10" hidden="1" customWidth="1" outlineLevel="1"/>
    <col min="27" max="27" width="33.33203125" style="10" hidden="1" customWidth="1" outlineLevel="1"/>
    <col min="28" max="28" width="33.109375" style="3" hidden="1" customWidth="1" outlineLevel="1"/>
    <col min="29" max="29" width="33.88671875" style="10" hidden="1" customWidth="1" outlineLevel="1"/>
    <col min="30" max="30" width="40.33203125" style="3" hidden="1" customWidth="1" outlineLevel="1"/>
    <col min="31" max="31" width="41.6640625" style="3" hidden="1" customWidth="1" outlineLevel="1"/>
    <col min="32" max="32" width="10.5546875" hidden="1" customWidth="1" outlineLevel="1"/>
    <col min="33" max="33" width="27.5546875" style="3" hidden="1" customWidth="1" outlineLevel="1"/>
    <col min="34" max="34" width="25.5546875" style="11" hidden="1" customWidth="1" outlineLevel="1"/>
    <col min="35" max="35" width="29.33203125" style="3" hidden="1" customWidth="1" outlineLevel="1"/>
    <col min="36" max="36" width="9.109375" hidden="1" customWidth="1" outlineLevel="1"/>
    <col min="37" max="37" width="27" hidden="1" customWidth="1" outlineLevel="1"/>
    <col min="38" max="38" width="12.88671875" hidden="1" customWidth="1" outlineLevel="1"/>
    <col min="39" max="39" width="12.6640625" hidden="1" customWidth="1" outlineLevel="1"/>
    <col min="40" max="40" width="9.109375" collapsed="1"/>
  </cols>
  <sheetData>
    <row r="1" spans="1:39" ht="42" customHeight="1" x14ac:dyDescent="0.3">
      <c r="A1" s="77"/>
      <c r="B1" s="77"/>
      <c r="C1" s="77"/>
      <c r="D1" s="77"/>
      <c r="E1" s="77"/>
      <c r="F1" s="77"/>
      <c r="G1" s="90"/>
      <c r="H1" s="90"/>
      <c r="I1" s="77"/>
      <c r="J1" s="77"/>
      <c r="K1" s="91"/>
      <c r="L1" s="91"/>
      <c r="M1" s="91"/>
      <c r="N1" s="91"/>
      <c r="O1" s="91"/>
      <c r="P1" s="90"/>
      <c r="Q1" s="92"/>
      <c r="R1" s="93"/>
      <c r="S1" s="94"/>
      <c r="T1" s="95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</row>
    <row r="2" spans="1:39" ht="23.25" customHeight="1" x14ac:dyDescent="0.3">
      <c r="A2" s="130"/>
      <c r="B2" s="130"/>
      <c r="C2" s="130"/>
      <c r="D2" s="130"/>
      <c r="E2" s="130"/>
      <c r="F2" s="130"/>
      <c r="G2" s="131"/>
      <c r="H2" s="131"/>
      <c r="I2" s="130"/>
      <c r="J2" s="130"/>
      <c r="K2" s="132"/>
      <c r="L2" s="132"/>
      <c r="M2" s="132"/>
      <c r="N2" s="132"/>
      <c r="O2" s="132"/>
      <c r="P2" s="131"/>
      <c r="Q2" s="133"/>
      <c r="R2" s="134"/>
      <c r="S2" s="135"/>
      <c r="T2" s="136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</row>
    <row r="3" spans="1:39" ht="9" customHeight="1" x14ac:dyDescent="0.3"/>
    <row r="4" spans="1:39" x14ac:dyDescent="0.3">
      <c r="A4" t="s">
        <v>0</v>
      </c>
      <c r="B4" t="s">
        <v>197</v>
      </c>
      <c r="C4" t="s">
        <v>198</v>
      </c>
      <c r="D4" t="s">
        <v>1</v>
      </c>
      <c r="E4" t="s">
        <v>2</v>
      </c>
      <c r="F4" t="s">
        <v>31</v>
      </c>
      <c r="G4" t="s">
        <v>175</v>
      </c>
      <c r="H4" t="s">
        <v>3</v>
      </c>
      <c r="I4" s="3" t="s">
        <v>4</v>
      </c>
      <c r="J4" s="3" t="s">
        <v>5</v>
      </c>
      <c r="K4" t="s">
        <v>199</v>
      </c>
      <c r="L4" s="1" t="s">
        <v>200</v>
      </c>
      <c r="M4" s="1" t="s">
        <v>201</v>
      </c>
      <c r="N4" s="1" t="s">
        <v>202</v>
      </c>
      <c r="O4" s="1" t="s">
        <v>7</v>
      </c>
      <c r="P4" s="1" t="s">
        <v>203</v>
      </c>
      <c r="Q4" s="1" t="s">
        <v>204</v>
      </c>
      <c r="R4" s="3" t="s">
        <v>8</v>
      </c>
      <c r="S4" s="4" t="s">
        <v>9</v>
      </c>
      <c r="T4" s="8" t="s">
        <v>10</v>
      </c>
      <c r="U4" s="9" t="s">
        <v>11</v>
      </c>
      <c r="V4" s="10" t="s">
        <v>12</v>
      </c>
      <c r="W4" s="40" t="s">
        <v>13</v>
      </c>
      <c r="X4" s="10" t="s">
        <v>14</v>
      </c>
      <c r="Y4" s="10" t="s">
        <v>15</v>
      </c>
      <c r="Z4" s="10" t="s">
        <v>16</v>
      </c>
      <c r="AA4" s="12" t="s">
        <v>17</v>
      </c>
      <c r="AB4" s="12" t="s">
        <v>18</v>
      </c>
      <c r="AC4" s="10" t="s">
        <v>19</v>
      </c>
      <c r="AD4" s="3" t="s">
        <v>20</v>
      </c>
      <c r="AE4" s="10" t="s">
        <v>21</v>
      </c>
      <c r="AF4" s="3" t="s">
        <v>22</v>
      </c>
      <c r="AG4" s="3" t="s">
        <v>23</v>
      </c>
      <c r="AH4" t="s">
        <v>24</v>
      </c>
      <c r="AI4" s="3" t="s">
        <v>25</v>
      </c>
      <c r="AJ4" s="11" t="s">
        <v>26</v>
      </c>
      <c r="AK4" s="3" t="s">
        <v>27</v>
      </c>
      <c r="AL4" s="3" t="s">
        <v>205</v>
      </c>
      <c r="AM4" s="3" t="s">
        <v>206</v>
      </c>
    </row>
    <row r="5" spans="1:39" x14ac:dyDescent="0.3">
      <c r="B5" s="80"/>
      <c r="C5" s="140"/>
      <c r="G5"/>
      <c r="H5"/>
      <c r="I5" s="3"/>
      <c r="J5" s="3"/>
      <c r="K5" s="11" t="e">
        <f>LAN_OP[[#This Row],[VALOR FATURADO]]/LAN_OP[[#This Row],[VALOR CONTRATO]]</f>
        <v>#DIV/0!</v>
      </c>
      <c r="L5" s="4">
        <f>LAN_OP[[#This Row],[VALOR CONTRATO]]-LAN_OP[[#This Row],[VALOR FATURADO]]</f>
        <v>0</v>
      </c>
      <c r="M5" s="11" t="e">
        <v>#DIV/0!</v>
      </c>
      <c r="P5" s="11"/>
      <c r="Q5" s="141"/>
      <c r="R5" s="3"/>
      <c r="S5" s="4"/>
      <c r="T5" s="8" t="str">
        <f>IFERROR(VLOOKUP(LAN_OP[[#This Row],[OP/OS]],LANC_FAT!A:M,2,0),"-")</f>
        <v>-</v>
      </c>
      <c r="U5" s="9" t="str">
        <f>IFERROR(VLOOKUP(LAN_OP[[#This Row],[OP/OS]],LANC_FAT!A:M,8,0),"-")</f>
        <v>-</v>
      </c>
      <c r="V5" s="10">
        <f>SUMIF(LANC_FAT[OP/OS],LAN_OP[[#This Row],[OP/OS]],LANC_FAT[VALOR DA NF COM IMPOSTO])</f>
        <v>0</v>
      </c>
      <c r="W5" s="3"/>
      <c r="X5" s="10">
        <f>SUMIF(LANC_COMPRA[OP/OS],LAN_OP[[#This Row],[OP/OS]],LANC_COMPRA[[VALOR ]])</f>
        <v>0</v>
      </c>
      <c r="Y5" s="10">
        <f>SUMIF(LANC_HORAS[OP/OS],LAN_OP[[#This Row],[OP/OS]],LANC_HORAS[TOTAL GERAL NORMAL])</f>
        <v>0</v>
      </c>
      <c r="Z5" s="10">
        <f>SUMIF(LANC_HORAS[OP/OS],LAN_OP[[#This Row],[OP/OS]],LANC_HORAS[TOTAL GERAL EXTRAS])</f>
        <v>0</v>
      </c>
      <c r="AA5" s="12">
        <f>SUMIF(LANC_HORAS[OP/OS],LAN_OP[[#This Row],[OP/OS]],LANC_HORAS[TOTAL H.N])</f>
        <v>0</v>
      </c>
      <c r="AB5" s="12">
        <f>SUMIF(LANC_HORAS[OP/OS],LAN_OP[[#This Row],[OP/OS]],LANC_HORAS[TOTAL H.E])</f>
        <v>0</v>
      </c>
      <c r="AC5" s="10">
        <f>SUMIF(LANC_DESPESAS[OS/OP],LAN_OP[[#This Row],[OP/OS]],LANC_DESPESAS[OBSERVAÇÕES])</f>
        <v>0</v>
      </c>
      <c r="AD5" s="3">
        <f>SUMIF(LANC_DESLOC[OS/OP],LAN_OP[[#This Row],[OP/OS]],LANC_DESLOC[ANO])</f>
        <v>0</v>
      </c>
      <c r="AE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" s="3">
        <f>LAN_OP[[#This Row],[TOTAL PARCIAL (M.O+MT+DESP)]]*1.08</f>
        <v>0</v>
      </c>
      <c r="AG5" s="3">
        <f>LAN_OP[[#This Row],[TOTAL PARCIAL + OUTROS CUSTOS (8%)]]*1.09</f>
        <v>0</v>
      </c>
      <c r="AH5" t="str">
        <f>IF(AND(U5&gt;=CALENDARIO!$B$2,U5&lt;=CALENDARIO!$C$2),"JANEIRO",IF(AND(U5&gt;=CALENDARIO!$B$3,U5&lt;=CALENDARIO!$C$3),"FEVEREIRO",IF(AND(U5&gt;=CALENDARIO!$B$4,U5&lt;=CALENDARIO!$C$4),"MARÇO",IF(AND(U5&gt;=CALENDARIO!$B$5,U5&lt;=CALENDARIO!$C$5),"ABRIL",IF(AND(U5&gt;=CALENDARIO!$B$6,U5&lt;=CALENDARIO!$C$6),"MAIO",IF(AND(U5&gt;=CALENDARIO!$B$7,U5&lt;=CALENDARIO!$C$7),"JUNHO",IF(AND(U5&gt;=CALENDARIO!$B$8,U5&lt;=CALENDARIO!$C$8),"JULHO",IF(AND(U5&gt;=CALENDARIO!$B$9,U5&lt;=CALENDARIO!$C$9),"AGOSTO",IF(AND(U5&gt;=CALENDARIO!$B$10,U5&lt;=CALENDARIO!$C$10),"SETEMBRO",IF(AND(U5&gt;=CALENDARIO!$B$11,U5&lt;=CALENDARIO!$C$11),"OUTUBRO",IF(AND(U5&gt;=CALENDARIO!$B$12,U5&lt;=CALENDARIO!$C$12),"NOVEMBRO",IF(AND(U5&gt;=CALENDARIO!$B$13,U5&lt;=CALENDARIO!$C$13),"DEZEMBRO","-"))))))))))))</f>
        <v>-</v>
      </c>
      <c r="AI5" s="3">
        <f>LAN_OP[[#This Row],[VALOR CONTRATO]]-LAN_OP[[#This Row],[TOTAL CUSTO (O.C + DI + MT + MO+DESP)]]</f>
        <v>0</v>
      </c>
      <c r="AJ5" s="11" t="str">
        <f>IFERROR(LAN_OP[[#This Row],[R$ (CONTRATO - CUSTOS)]]/LAN_OP[[#This Row],[VALOR CONTRATO]],"")</f>
        <v/>
      </c>
      <c r="AK5" s="3">
        <f>LAN_OP[[#This Row],[VALOR CONTRATO]]-LAN_OP[[#This Row],[VALOR FATURADO]]</f>
        <v>0</v>
      </c>
      <c r="AL5" s="3" t="str">
        <f>IF(AND(C5&gt;=CALENDARIO!$B$2,C5&lt;=CALENDARIO!$C$2),"JANEIRO",IF(AND(C5&gt;=CALENDARIO!$B$3,C5&lt;=CALENDARIO!$C$3),"FEVEREIRO",IF(AND(C5&gt;=CALENDARIO!$B$4,C5&lt;=CALENDARIO!$C$4),"MARÇO",IF(AND(C5&gt;=CALENDARIO!$B$5,C5&lt;=CALENDARIO!$C$5),"ABRIL",IF(AND(C5&gt;=CALENDARIO!$B$6,C5&lt;=CALENDARIO!$C$6),"MAIO",IF(AND(C5&gt;=CALENDARIO!$B$7,C5&lt;=CALENDARIO!$C$7),"JUNHO",IF(AND(C5&gt;=CALENDARIO!$B$8,C5&lt;=CALENDARIO!$C$8),"JULHO",IF(AND(C5&gt;=CALENDARIO!$B$9,C5&lt;=CALENDARIO!$C$9),"AGOSTO",IF(AND(C5&gt;=CALENDARIO!$B$10,C5&lt;=CALENDARIO!$C$10),"SETEMBRO",IF(AND(C5&gt;=CALENDARIO!$B$11,C5&lt;=CALENDARIO!$C$11),"OUTUBRO",IF(AND(C5&gt;=CALENDARIO!$B$12,C5&lt;=CALENDARIO!$C$12),"NOVEMBRO",IF(AND(C5&gt;=CALENDARIO!$B$13,C5&lt;=CALENDARIO!$C$13),"DEZEMBRO","-"))))))))))))</f>
        <v>-</v>
      </c>
      <c r="AM5" s="3" t="str">
        <f>RIGHT(LAN_OP[[#This Row],[OP/OS]],4)</f>
        <v/>
      </c>
    </row>
    <row r="6" spans="1:39" x14ac:dyDescent="0.3">
      <c r="B6" s="80"/>
      <c r="C6" s="140"/>
      <c r="G6"/>
      <c r="H6"/>
      <c r="I6" s="3"/>
      <c r="J6" s="3"/>
      <c r="K6" s="11" t="e">
        <f>LAN_OP[[#This Row],[VALOR FATURADO]]/LAN_OP[[#This Row],[VALOR CONTRATO]]</f>
        <v>#DIV/0!</v>
      </c>
      <c r="L6" s="4">
        <f>LAN_OP[[#This Row],[VALOR CONTRATO]]-LAN_OP[[#This Row],[VALOR FATURADO]]</f>
        <v>0</v>
      </c>
      <c r="M6" s="11" t="e">
        <v>#DIV/0!</v>
      </c>
      <c r="P6" s="11"/>
      <c r="Q6" s="141"/>
      <c r="R6" s="3"/>
      <c r="S6" s="4"/>
      <c r="T6" s="8" t="str">
        <f>IFERROR(VLOOKUP(LAN_OP[[#This Row],[OP/OS]],LANC_FAT!A:M,2,0),"-")</f>
        <v>-</v>
      </c>
      <c r="U6" s="9" t="str">
        <f>IFERROR(VLOOKUP(LAN_OP[[#This Row],[OP/OS]],LANC_FAT!A:M,8,0),"-")</f>
        <v>-</v>
      </c>
      <c r="V6" s="10">
        <f>SUMIF(LANC_FAT[OP/OS],LAN_OP[[#This Row],[OP/OS]],LANC_FAT[VALOR DA NF COM IMPOSTO])</f>
        <v>0</v>
      </c>
      <c r="W6" s="3"/>
      <c r="X6" s="10">
        <f>SUMIF(LANC_COMPRA[OP/OS],LAN_OP[[#This Row],[OP/OS]],LANC_COMPRA[[VALOR ]])</f>
        <v>0</v>
      </c>
      <c r="Y6" s="10">
        <f>SUMIF(LANC_HORAS[OP/OS],LAN_OP[[#This Row],[OP/OS]],LANC_HORAS[TOTAL GERAL NORMAL])</f>
        <v>0</v>
      </c>
      <c r="Z6" s="10">
        <f>SUMIF(LANC_HORAS[OP/OS],LAN_OP[[#This Row],[OP/OS]],LANC_HORAS[TOTAL GERAL EXTRAS])</f>
        <v>0</v>
      </c>
      <c r="AA6" s="12">
        <f>SUMIF(LANC_HORAS[OP/OS],LAN_OP[[#This Row],[OP/OS]],LANC_HORAS[TOTAL H.N])</f>
        <v>0</v>
      </c>
      <c r="AB6" s="12">
        <f>SUMIF(LANC_HORAS[OP/OS],LAN_OP[[#This Row],[OP/OS]],LANC_HORAS[TOTAL H.E])</f>
        <v>0</v>
      </c>
      <c r="AC6" s="10">
        <f>SUMIF(LANC_DESPESAS[OS/OP],LAN_OP[[#This Row],[OP/OS]],LANC_DESPESAS[OBSERVAÇÕES])</f>
        <v>0</v>
      </c>
      <c r="AD6" s="3">
        <f>SUMIF(LANC_DESLOC[OS/OP],LAN_OP[[#This Row],[OP/OS]],LANC_DESLOC[ANO])</f>
        <v>0</v>
      </c>
      <c r="AE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" s="3">
        <f>LAN_OP[[#This Row],[TOTAL PARCIAL (M.O+MT+DESP)]]*1.08</f>
        <v>0</v>
      </c>
      <c r="AG6" s="3">
        <f>LAN_OP[[#This Row],[TOTAL PARCIAL + OUTROS CUSTOS (8%)]]*1.09</f>
        <v>0</v>
      </c>
      <c r="AH6" t="str">
        <f>IF(AND(U6&gt;=CALENDARIO!$B$2,U6&lt;=CALENDARIO!$C$2),"JANEIRO",IF(AND(U6&gt;=CALENDARIO!$B$3,U6&lt;=CALENDARIO!$C$3),"FEVEREIRO",IF(AND(U6&gt;=CALENDARIO!$B$4,U6&lt;=CALENDARIO!$C$4),"MARÇO",IF(AND(U6&gt;=CALENDARIO!$B$5,U6&lt;=CALENDARIO!$C$5),"ABRIL",IF(AND(U6&gt;=CALENDARIO!$B$6,U6&lt;=CALENDARIO!$C$6),"MAIO",IF(AND(U6&gt;=CALENDARIO!$B$7,U6&lt;=CALENDARIO!$C$7),"JUNHO",IF(AND(U6&gt;=CALENDARIO!$B$8,U6&lt;=CALENDARIO!$C$8),"JULHO",IF(AND(U6&gt;=CALENDARIO!$B$9,U6&lt;=CALENDARIO!$C$9),"AGOSTO",IF(AND(U6&gt;=CALENDARIO!$B$10,U6&lt;=CALENDARIO!$C$10),"SETEMBRO",IF(AND(U6&gt;=CALENDARIO!$B$11,U6&lt;=CALENDARIO!$C$11),"OUTUBRO",IF(AND(U6&gt;=CALENDARIO!$B$12,U6&lt;=CALENDARIO!$C$12),"NOVEMBRO",IF(AND(U6&gt;=CALENDARIO!$B$13,U6&lt;=CALENDARIO!$C$13),"DEZEMBRO","-"))))))))))))</f>
        <v>-</v>
      </c>
      <c r="AI6" s="3">
        <f>LAN_OP[[#This Row],[VALOR CONTRATO]]-LAN_OP[[#This Row],[TOTAL CUSTO (O.C + DI + MT + MO+DESP)]]</f>
        <v>0</v>
      </c>
      <c r="AJ6" s="11" t="str">
        <f>IFERROR(LAN_OP[[#This Row],[R$ (CONTRATO - CUSTOS)]]/LAN_OP[[#This Row],[VALOR CONTRATO]],"")</f>
        <v/>
      </c>
      <c r="AK6" s="3">
        <f>LAN_OP[[#This Row],[VALOR CONTRATO]]-LAN_OP[[#This Row],[VALOR FATURADO]]</f>
        <v>0</v>
      </c>
      <c r="AL6" s="3" t="str">
        <f>IF(AND(C6&gt;=CALENDARIO!$B$2,C6&lt;=CALENDARIO!$C$2),"JANEIRO",IF(AND(C6&gt;=CALENDARIO!$B$3,C6&lt;=CALENDARIO!$C$3),"FEVEREIRO",IF(AND(C6&gt;=CALENDARIO!$B$4,C6&lt;=CALENDARIO!$C$4),"MARÇO",IF(AND(C6&gt;=CALENDARIO!$B$5,C6&lt;=CALENDARIO!$C$5),"ABRIL",IF(AND(C6&gt;=CALENDARIO!$B$6,C6&lt;=CALENDARIO!$C$6),"MAIO",IF(AND(C6&gt;=CALENDARIO!$B$7,C6&lt;=CALENDARIO!$C$7),"JUNHO",IF(AND(C6&gt;=CALENDARIO!$B$8,C6&lt;=CALENDARIO!$C$8),"JULHO",IF(AND(C6&gt;=CALENDARIO!$B$9,C6&lt;=CALENDARIO!$C$9),"AGOSTO",IF(AND(C6&gt;=CALENDARIO!$B$10,C6&lt;=CALENDARIO!$C$10),"SETEMBRO",IF(AND(C6&gt;=CALENDARIO!$B$11,C6&lt;=CALENDARIO!$C$11),"OUTUBRO",IF(AND(C6&gt;=CALENDARIO!$B$12,C6&lt;=CALENDARIO!$C$12),"NOVEMBRO",IF(AND(C6&gt;=CALENDARIO!$B$13,C6&lt;=CALENDARIO!$C$13),"DEZEMBRO","-"))))))))))))</f>
        <v>-</v>
      </c>
      <c r="AM6" s="3" t="str">
        <f>RIGHT(LAN_OP[[#This Row],[OP/OS]],4)</f>
        <v/>
      </c>
    </row>
    <row r="7" spans="1:39" x14ac:dyDescent="0.3">
      <c r="B7" s="80"/>
      <c r="C7" s="140"/>
      <c r="G7"/>
      <c r="H7"/>
      <c r="I7" s="3"/>
      <c r="J7" s="3"/>
      <c r="K7" s="11" t="e">
        <f>LAN_OP[[#This Row],[VALOR FATURADO]]/LAN_OP[[#This Row],[VALOR CONTRATO]]</f>
        <v>#DIV/0!</v>
      </c>
      <c r="L7" s="4">
        <f>LAN_OP[[#This Row],[VALOR CONTRATO]]-LAN_OP[[#This Row],[VALOR FATURADO]]</f>
        <v>0</v>
      </c>
      <c r="M7" s="11" t="e">
        <v>#DIV/0!</v>
      </c>
      <c r="P7" s="11"/>
      <c r="Q7" s="141"/>
      <c r="R7" s="3"/>
      <c r="S7" s="4"/>
      <c r="T7" s="8" t="str">
        <f>IFERROR(VLOOKUP(LAN_OP[[#This Row],[OP/OS]],LANC_FAT!A:M,2,0),"-")</f>
        <v>-</v>
      </c>
      <c r="U7" s="9" t="str">
        <f>IFERROR(VLOOKUP(LAN_OP[[#This Row],[OP/OS]],LANC_FAT!A:M,8,0),"-")</f>
        <v>-</v>
      </c>
      <c r="V7" s="10">
        <f>SUMIF(LANC_FAT[OP/OS],LAN_OP[[#This Row],[OP/OS]],LANC_FAT[VALOR DA NF COM IMPOSTO])</f>
        <v>0</v>
      </c>
      <c r="W7" s="3"/>
      <c r="X7" s="10">
        <f>SUMIF(LANC_COMPRA[OP/OS],LAN_OP[[#This Row],[OP/OS]],LANC_COMPRA[[VALOR ]])</f>
        <v>0</v>
      </c>
      <c r="Y7" s="10">
        <f>SUMIF(LANC_HORAS[OP/OS],LAN_OP[[#This Row],[OP/OS]],LANC_HORAS[TOTAL GERAL NORMAL])</f>
        <v>0</v>
      </c>
      <c r="Z7" s="10">
        <f>SUMIF(LANC_HORAS[OP/OS],LAN_OP[[#This Row],[OP/OS]],LANC_HORAS[TOTAL GERAL EXTRAS])</f>
        <v>0</v>
      </c>
      <c r="AA7" s="12">
        <f>SUMIF(LANC_HORAS[OP/OS],LAN_OP[[#This Row],[OP/OS]],LANC_HORAS[TOTAL H.N])</f>
        <v>0</v>
      </c>
      <c r="AB7" s="12">
        <f>SUMIF(LANC_HORAS[OP/OS],LAN_OP[[#This Row],[OP/OS]],LANC_HORAS[TOTAL H.E])</f>
        <v>0</v>
      </c>
      <c r="AC7" s="10">
        <f>SUMIF(LANC_DESPESAS[OS/OP],LAN_OP[[#This Row],[OP/OS]],LANC_DESPESAS[OBSERVAÇÕES])</f>
        <v>0</v>
      </c>
      <c r="AD7" s="3">
        <f>SUMIF(LANC_DESLOC[OS/OP],LAN_OP[[#This Row],[OP/OS]],LANC_DESLOC[ANO])</f>
        <v>0</v>
      </c>
      <c r="AE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" s="3">
        <f>LAN_OP[[#This Row],[TOTAL PARCIAL (M.O+MT+DESP)]]*1.08</f>
        <v>0</v>
      </c>
      <c r="AG7" s="3">
        <f>LAN_OP[[#This Row],[TOTAL PARCIAL + OUTROS CUSTOS (8%)]]*1.09</f>
        <v>0</v>
      </c>
      <c r="AH7" t="str">
        <f>IF(AND(U7&gt;=CALENDARIO!$B$2,U7&lt;=CALENDARIO!$C$2),"JANEIRO",IF(AND(U7&gt;=CALENDARIO!$B$3,U7&lt;=CALENDARIO!$C$3),"FEVEREIRO",IF(AND(U7&gt;=CALENDARIO!$B$4,U7&lt;=CALENDARIO!$C$4),"MARÇO",IF(AND(U7&gt;=CALENDARIO!$B$5,U7&lt;=CALENDARIO!$C$5),"ABRIL",IF(AND(U7&gt;=CALENDARIO!$B$6,U7&lt;=CALENDARIO!$C$6),"MAIO",IF(AND(U7&gt;=CALENDARIO!$B$7,U7&lt;=CALENDARIO!$C$7),"JUNHO",IF(AND(U7&gt;=CALENDARIO!$B$8,U7&lt;=CALENDARIO!$C$8),"JULHO",IF(AND(U7&gt;=CALENDARIO!$B$9,U7&lt;=CALENDARIO!$C$9),"AGOSTO",IF(AND(U7&gt;=CALENDARIO!$B$10,U7&lt;=CALENDARIO!$C$10),"SETEMBRO",IF(AND(U7&gt;=CALENDARIO!$B$11,U7&lt;=CALENDARIO!$C$11),"OUTUBRO",IF(AND(U7&gt;=CALENDARIO!$B$12,U7&lt;=CALENDARIO!$C$12),"NOVEMBRO",IF(AND(U7&gt;=CALENDARIO!$B$13,U7&lt;=CALENDARIO!$C$13),"DEZEMBRO","-"))))))))))))</f>
        <v>-</v>
      </c>
      <c r="AI7" s="3">
        <f>LAN_OP[[#This Row],[VALOR CONTRATO]]-LAN_OP[[#This Row],[TOTAL CUSTO (O.C + DI + MT + MO+DESP)]]</f>
        <v>0</v>
      </c>
      <c r="AJ7" s="11" t="str">
        <f>IFERROR(LAN_OP[[#This Row],[R$ (CONTRATO - CUSTOS)]]/LAN_OP[[#This Row],[VALOR CONTRATO]],"")</f>
        <v/>
      </c>
      <c r="AK7" s="3">
        <f>LAN_OP[[#This Row],[VALOR CONTRATO]]-LAN_OP[[#This Row],[VALOR FATURADO]]</f>
        <v>0</v>
      </c>
      <c r="AL7" s="3" t="str">
        <f>IF(AND(C7&gt;=CALENDARIO!$B$2,C7&lt;=CALENDARIO!$C$2),"JANEIRO",IF(AND(C7&gt;=CALENDARIO!$B$3,C7&lt;=CALENDARIO!$C$3),"FEVEREIRO",IF(AND(C7&gt;=CALENDARIO!$B$4,C7&lt;=CALENDARIO!$C$4),"MARÇO",IF(AND(C7&gt;=CALENDARIO!$B$5,C7&lt;=CALENDARIO!$C$5),"ABRIL",IF(AND(C7&gt;=CALENDARIO!$B$6,C7&lt;=CALENDARIO!$C$6),"MAIO",IF(AND(C7&gt;=CALENDARIO!$B$7,C7&lt;=CALENDARIO!$C$7),"JUNHO",IF(AND(C7&gt;=CALENDARIO!$B$8,C7&lt;=CALENDARIO!$C$8),"JULHO",IF(AND(C7&gt;=CALENDARIO!$B$9,C7&lt;=CALENDARIO!$C$9),"AGOSTO",IF(AND(C7&gt;=CALENDARIO!$B$10,C7&lt;=CALENDARIO!$C$10),"SETEMBRO",IF(AND(C7&gt;=CALENDARIO!$B$11,C7&lt;=CALENDARIO!$C$11),"OUTUBRO",IF(AND(C7&gt;=CALENDARIO!$B$12,C7&lt;=CALENDARIO!$C$12),"NOVEMBRO",IF(AND(C7&gt;=CALENDARIO!$B$13,C7&lt;=CALENDARIO!$C$13),"DEZEMBRO","-"))))))))))))</f>
        <v>-</v>
      </c>
      <c r="AM7" s="3" t="str">
        <f>RIGHT(LAN_OP[[#This Row],[OP/OS]],4)</f>
        <v/>
      </c>
    </row>
    <row r="8" spans="1:39" x14ac:dyDescent="0.3">
      <c r="B8" s="80"/>
      <c r="C8" s="140"/>
      <c r="G8"/>
      <c r="H8"/>
      <c r="I8" s="3"/>
      <c r="J8" s="3"/>
      <c r="K8" s="11" t="e">
        <f>LAN_OP[[#This Row],[VALOR FATURADO]]/LAN_OP[[#This Row],[VALOR CONTRATO]]</f>
        <v>#DIV/0!</v>
      </c>
      <c r="L8" s="4">
        <f>LAN_OP[[#This Row],[VALOR CONTRATO]]-LAN_OP[[#This Row],[VALOR FATURADO]]</f>
        <v>0</v>
      </c>
      <c r="M8" s="11" t="e">
        <v>#DIV/0!</v>
      </c>
      <c r="P8" s="11"/>
      <c r="Q8" s="141"/>
      <c r="R8" s="3"/>
      <c r="S8" s="4"/>
      <c r="T8" s="8" t="str">
        <f>IFERROR(VLOOKUP(LAN_OP[[#This Row],[OP/OS]],LANC_FAT!A:M,2,0),"-")</f>
        <v>-</v>
      </c>
      <c r="U8" s="9" t="str">
        <f>IFERROR(VLOOKUP(LAN_OP[[#This Row],[OP/OS]],LANC_FAT!A:M,8,0),"-")</f>
        <v>-</v>
      </c>
      <c r="V8" s="10">
        <f>SUMIF(LANC_FAT[OP/OS],LAN_OP[[#This Row],[OP/OS]],LANC_FAT[VALOR DA NF COM IMPOSTO])</f>
        <v>0</v>
      </c>
      <c r="W8" s="3"/>
      <c r="X8" s="10">
        <f>SUMIF(LANC_COMPRA[OP/OS],LAN_OP[[#This Row],[OP/OS]],LANC_COMPRA[[VALOR ]])</f>
        <v>0</v>
      </c>
      <c r="Y8" s="10">
        <f>SUMIF(LANC_HORAS[OP/OS],LAN_OP[[#This Row],[OP/OS]],LANC_HORAS[TOTAL GERAL NORMAL])</f>
        <v>0</v>
      </c>
      <c r="Z8" s="10">
        <f>SUMIF(LANC_HORAS[OP/OS],LAN_OP[[#This Row],[OP/OS]],LANC_HORAS[TOTAL GERAL EXTRAS])</f>
        <v>0</v>
      </c>
      <c r="AA8" s="12">
        <f>SUMIF(LANC_HORAS[OP/OS],LAN_OP[[#This Row],[OP/OS]],LANC_HORAS[TOTAL H.N])</f>
        <v>0</v>
      </c>
      <c r="AB8" s="12">
        <f>SUMIF(LANC_HORAS[OP/OS],LAN_OP[[#This Row],[OP/OS]],LANC_HORAS[TOTAL H.E])</f>
        <v>0</v>
      </c>
      <c r="AC8" s="10">
        <f>SUMIF(LANC_DESPESAS[OS/OP],LAN_OP[[#This Row],[OP/OS]],LANC_DESPESAS[OBSERVAÇÕES])</f>
        <v>0</v>
      </c>
      <c r="AD8" s="3">
        <f>SUMIF(LANC_DESLOC[OS/OP],LAN_OP[[#This Row],[OP/OS]],LANC_DESLOC[ANO])</f>
        <v>0</v>
      </c>
      <c r="AE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" s="3">
        <f>LAN_OP[[#This Row],[TOTAL PARCIAL (M.O+MT+DESP)]]*1.08</f>
        <v>0</v>
      </c>
      <c r="AG8" s="3">
        <f>LAN_OP[[#This Row],[TOTAL PARCIAL + OUTROS CUSTOS (8%)]]*1.09</f>
        <v>0</v>
      </c>
      <c r="AH8" t="str">
        <f>IF(AND(U8&gt;=CALENDARIO!$B$2,U8&lt;=CALENDARIO!$C$2),"JANEIRO",IF(AND(U8&gt;=CALENDARIO!$B$3,U8&lt;=CALENDARIO!$C$3),"FEVEREIRO",IF(AND(U8&gt;=CALENDARIO!$B$4,U8&lt;=CALENDARIO!$C$4),"MARÇO",IF(AND(U8&gt;=CALENDARIO!$B$5,U8&lt;=CALENDARIO!$C$5),"ABRIL",IF(AND(U8&gt;=CALENDARIO!$B$6,U8&lt;=CALENDARIO!$C$6),"MAIO",IF(AND(U8&gt;=CALENDARIO!$B$7,U8&lt;=CALENDARIO!$C$7),"JUNHO",IF(AND(U8&gt;=CALENDARIO!$B$8,U8&lt;=CALENDARIO!$C$8),"JULHO",IF(AND(U8&gt;=CALENDARIO!$B$9,U8&lt;=CALENDARIO!$C$9),"AGOSTO",IF(AND(U8&gt;=CALENDARIO!$B$10,U8&lt;=CALENDARIO!$C$10),"SETEMBRO",IF(AND(U8&gt;=CALENDARIO!$B$11,U8&lt;=CALENDARIO!$C$11),"OUTUBRO",IF(AND(U8&gt;=CALENDARIO!$B$12,U8&lt;=CALENDARIO!$C$12),"NOVEMBRO",IF(AND(U8&gt;=CALENDARIO!$B$13,U8&lt;=CALENDARIO!$C$13),"DEZEMBRO","-"))))))))))))</f>
        <v>-</v>
      </c>
      <c r="AI8" s="3">
        <f>LAN_OP[[#This Row],[VALOR CONTRATO]]-LAN_OP[[#This Row],[TOTAL CUSTO (O.C + DI + MT + MO+DESP)]]</f>
        <v>0</v>
      </c>
      <c r="AJ8" s="11" t="str">
        <f>IFERROR(LAN_OP[[#This Row],[R$ (CONTRATO - CUSTOS)]]/LAN_OP[[#This Row],[VALOR CONTRATO]],"")</f>
        <v/>
      </c>
      <c r="AK8" s="3">
        <f>LAN_OP[[#This Row],[VALOR CONTRATO]]-LAN_OP[[#This Row],[VALOR FATURADO]]</f>
        <v>0</v>
      </c>
      <c r="AL8" s="3" t="str">
        <f>IF(AND(C8&gt;=CALENDARIO!$B$2,C8&lt;=CALENDARIO!$C$2),"JANEIRO",IF(AND(C8&gt;=CALENDARIO!$B$3,C8&lt;=CALENDARIO!$C$3),"FEVEREIRO",IF(AND(C8&gt;=CALENDARIO!$B$4,C8&lt;=CALENDARIO!$C$4),"MARÇO",IF(AND(C8&gt;=CALENDARIO!$B$5,C8&lt;=CALENDARIO!$C$5),"ABRIL",IF(AND(C8&gt;=CALENDARIO!$B$6,C8&lt;=CALENDARIO!$C$6),"MAIO",IF(AND(C8&gt;=CALENDARIO!$B$7,C8&lt;=CALENDARIO!$C$7),"JUNHO",IF(AND(C8&gt;=CALENDARIO!$B$8,C8&lt;=CALENDARIO!$C$8),"JULHO",IF(AND(C8&gt;=CALENDARIO!$B$9,C8&lt;=CALENDARIO!$C$9),"AGOSTO",IF(AND(C8&gt;=CALENDARIO!$B$10,C8&lt;=CALENDARIO!$C$10),"SETEMBRO",IF(AND(C8&gt;=CALENDARIO!$B$11,C8&lt;=CALENDARIO!$C$11),"OUTUBRO",IF(AND(C8&gt;=CALENDARIO!$B$12,C8&lt;=CALENDARIO!$C$12),"NOVEMBRO",IF(AND(C8&gt;=CALENDARIO!$B$13,C8&lt;=CALENDARIO!$C$13),"DEZEMBRO","-"))))))))))))</f>
        <v>-</v>
      </c>
      <c r="AM8" s="3" t="str">
        <f>RIGHT(LAN_OP[[#This Row],[OP/OS]],4)</f>
        <v/>
      </c>
    </row>
    <row r="9" spans="1:39" x14ac:dyDescent="0.3">
      <c r="B9" s="80"/>
      <c r="C9" s="140"/>
      <c r="G9"/>
      <c r="H9"/>
      <c r="I9" s="3"/>
      <c r="J9" s="3"/>
      <c r="K9" s="11" t="e">
        <f>LAN_OP[[#This Row],[VALOR FATURADO]]/LAN_OP[[#This Row],[VALOR CONTRATO]]</f>
        <v>#DIV/0!</v>
      </c>
      <c r="L9" s="4">
        <f>LAN_OP[[#This Row],[VALOR CONTRATO]]-LAN_OP[[#This Row],[VALOR FATURADO]]</f>
        <v>0</v>
      </c>
      <c r="M9" s="11" t="e">
        <v>#DIV/0!</v>
      </c>
      <c r="P9" s="11"/>
      <c r="Q9" s="141"/>
      <c r="R9" s="3"/>
      <c r="S9" s="4"/>
      <c r="T9" s="8" t="str">
        <f>IFERROR(VLOOKUP(LAN_OP[[#This Row],[OP/OS]],LANC_FAT!A:M,2,0),"-")</f>
        <v>-</v>
      </c>
      <c r="U9" s="9" t="str">
        <f>IFERROR(VLOOKUP(LAN_OP[[#This Row],[OP/OS]],LANC_FAT!A:M,8,0),"-")</f>
        <v>-</v>
      </c>
      <c r="V9" s="10">
        <f>SUMIF(LANC_FAT[OP/OS],LAN_OP[[#This Row],[OP/OS]],LANC_FAT[VALOR DA NF COM IMPOSTO])</f>
        <v>0</v>
      </c>
      <c r="W9" s="3"/>
      <c r="X9" s="10">
        <f>SUMIF(LANC_COMPRA[OP/OS],LAN_OP[[#This Row],[OP/OS]],LANC_COMPRA[[VALOR ]])</f>
        <v>0</v>
      </c>
      <c r="Y9" s="10">
        <f>SUMIF(LANC_HORAS[OP/OS],LAN_OP[[#This Row],[OP/OS]],LANC_HORAS[TOTAL GERAL NORMAL])</f>
        <v>0</v>
      </c>
      <c r="Z9" s="10">
        <f>SUMIF(LANC_HORAS[OP/OS],LAN_OP[[#This Row],[OP/OS]],LANC_HORAS[TOTAL GERAL EXTRAS])</f>
        <v>0</v>
      </c>
      <c r="AA9" s="12">
        <f>SUMIF(LANC_HORAS[OP/OS],LAN_OP[[#This Row],[OP/OS]],LANC_HORAS[TOTAL H.N])</f>
        <v>0</v>
      </c>
      <c r="AB9" s="12">
        <f>SUMIF(LANC_HORAS[OP/OS],LAN_OP[[#This Row],[OP/OS]],LANC_HORAS[TOTAL H.E])</f>
        <v>0</v>
      </c>
      <c r="AC9" s="10">
        <f>SUMIF(LANC_DESPESAS[OS/OP],LAN_OP[[#This Row],[OP/OS]],LANC_DESPESAS[OBSERVAÇÕES])</f>
        <v>0</v>
      </c>
      <c r="AD9" s="3">
        <f>SUMIF(LANC_DESLOC[OS/OP],LAN_OP[[#This Row],[OP/OS]],LANC_DESLOC[ANO])</f>
        <v>0</v>
      </c>
      <c r="AE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" s="3">
        <f>LAN_OP[[#This Row],[TOTAL PARCIAL (M.O+MT+DESP)]]*1.08</f>
        <v>0</v>
      </c>
      <c r="AG9" s="3">
        <f>LAN_OP[[#This Row],[TOTAL PARCIAL + OUTROS CUSTOS (8%)]]*1.09</f>
        <v>0</v>
      </c>
      <c r="AH9" t="str">
        <f>IF(AND(U9&gt;=CALENDARIO!$B$2,U9&lt;=CALENDARIO!$C$2),"JANEIRO",IF(AND(U9&gt;=CALENDARIO!$B$3,U9&lt;=CALENDARIO!$C$3),"FEVEREIRO",IF(AND(U9&gt;=CALENDARIO!$B$4,U9&lt;=CALENDARIO!$C$4),"MARÇO",IF(AND(U9&gt;=CALENDARIO!$B$5,U9&lt;=CALENDARIO!$C$5),"ABRIL",IF(AND(U9&gt;=CALENDARIO!$B$6,U9&lt;=CALENDARIO!$C$6),"MAIO",IF(AND(U9&gt;=CALENDARIO!$B$7,U9&lt;=CALENDARIO!$C$7),"JUNHO",IF(AND(U9&gt;=CALENDARIO!$B$8,U9&lt;=CALENDARIO!$C$8),"JULHO",IF(AND(U9&gt;=CALENDARIO!$B$9,U9&lt;=CALENDARIO!$C$9),"AGOSTO",IF(AND(U9&gt;=CALENDARIO!$B$10,U9&lt;=CALENDARIO!$C$10),"SETEMBRO",IF(AND(U9&gt;=CALENDARIO!$B$11,U9&lt;=CALENDARIO!$C$11),"OUTUBRO",IF(AND(U9&gt;=CALENDARIO!$B$12,U9&lt;=CALENDARIO!$C$12),"NOVEMBRO",IF(AND(U9&gt;=CALENDARIO!$B$13,U9&lt;=CALENDARIO!$C$13),"DEZEMBRO","-"))))))))))))</f>
        <v>-</v>
      </c>
      <c r="AI9" s="3">
        <f>LAN_OP[[#This Row],[VALOR CONTRATO]]-LAN_OP[[#This Row],[TOTAL CUSTO (O.C + DI + MT + MO+DESP)]]</f>
        <v>0</v>
      </c>
      <c r="AJ9" s="11" t="str">
        <f>IFERROR(LAN_OP[[#This Row],[R$ (CONTRATO - CUSTOS)]]/LAN_OP[[#This Row],[VALOR CONTRATO]],"")</f>
        <v/>
      </c>
      <c r="AK9" s="3">
        <f>LAN_OP[[#This Row],[VALOR CONTRATO]]-LAN_OP[[#This Row],[VALOR FATURADO]]</f>
        <v>0</v>
      </c>
      <c r="AL9" s="3" t="str">
        <f>IF(AND(C9&gt;=CALENDARIO!$B$2,C9&lt;=CALENDARIO!$C$2),"JANEIRO",IF(AND(C9&gt;=CALENDARIO!$B$3,C9&lt;=CALENDARIO!$C$3),"FEVEREIRO",IF(AND(C9&gt;=CALENDARIO!$B$4,C9&lt;=CALENDARIO!$C$4),"MARÇO",IF(AND(C9&gt;=CALENDARIO!$B$5,C9&lt;=CALENDARIO!$C$5),"ABRIL",IF(AND(C9&gt;=CALENDARIO!$B$6,C9&lt;=CALENDARIO!$C$6),"MAIO",IF(AND(C9&gt;=CALENDARIO!$B$7,C9&lt;=CALENDARIO!$C$7),"JUNHO",IF(AND(C9&gt;=CALENDARIO!$B$8,C9&lt;=CALENDARIO!$C$8),"JULHO",IF(AND(C9&gt;=CALENDARIO!$B$9,C9&lt;=CALENDARIO!$C$9),"AGOSTO",IF(AND(C9&gt;=CALENDARIO!$B$10,C9&lt;=CALENDARIO!$C$10),"SETEMBRO",IF(AND(C9&gt;=CALENDARIO!$B$11,C9&lt;=CALENDARIO!$C$11),"OUTUBRO",IF(AND(C9&gt;=CALENDARIO!$B$12,C9&lt;=CALENDARIO!$C$12),"NOVEMBRO",IF(AND(C9&gt;=CALENDARIO!$B$13,C9&lt;=CALENDARIO!$C$13),"DEZEMBRO","-"))))))))))))</f>
        <v>-</v>
      </c>
      <c r="AM9" s="3" t="str">
        <f>RIGHT(LAN_OP[[#This Row],[OP/OS]],4)</f>
        <v/>
      </c>
    </row>
    <row r="10" spans="1:39" x14ac:dyDescent="0.3">
      <c r="B10" s="80"/>
      <c r="C10" s="140"/>
      <c r="G10"/>
      <c r="H10"/>
      <c r="I10" s="3"/>
      <c r="J10" s="3"/>
      <c r="K10" s="11" t="e">
        <f>LAN_OP[[#This Row],[VALOR FATURADO]]/LAN_OP[[#This Row],[VALOR CONTRATO]]</f>
        <v>#DIV/0!</v>
      </c>
      <c r="L10" s="4">
        <f>LAN_OP[[#This Row],[VALOR CONTRATO]]-LAN_OP[[#This Row],[VALOR FATURADO]]</f>
        <v>0</v>
      </c>
      <c r="M10" s="11" t="e">
        <v>#DIV/0!</v>
      </c>
      <c r="P10" s="11"/>
      <c r="Q10" s="141"/>
      <c r="R10" s="3"/>
      <c r="S10" s="4"/>
      <c r="T10" s="8" t="str">
        <f>IFERROR(VLOOKUP(LAN_OP[[#This Row],[OP/OS]],LANC_FAT!A:M,2,0),"-")</f>
        <v>-</v>
      </c>
      <c r="U10" s="9" t="str">
        <f>IFERROR(VLOOKUP(LAN_OP[[#This Row],[OP/OS]],LANC_FAT!A:M,8,0),"-")</f>
        <v>-</v>
      </c>
      <c r="V10" s="10">
        <f>SUMIF(LANC_FAT[OP/OS],LAN_OP[[#This Row],[OP/OS]],LANC_FAT[VALOR DA NF COM IMPOSTO])</f>
        <v>0</v>
      </c>
      <c r="W10" s="3"/>
      <c r="X10" s="10">
        <f>SUMIF(LANC_COMPRA[OP/OS],LAN_OP[[#This Row],[OP/OS]],LANC_COMPRA[[VALOR ]])</f>
        <v>0</v>
      </c>
      <c r="Y10" s="10">
        <f>SUMIF(LANC_HORAS[OP/OS],LAN_OP[[#This Row],[OP/OS]],LANC_HORAS[TOTAL GERAL NORMAL])</f>
        <v>0</v>
      </c>
      <c r="Z10" s="10">
        <f>SUMIF(LANC_HORAS[OP/OS],LAN_OP[[#This Row],[OP/OS]],LANC_HORAS[TOTAL GERAL EXTRAS])</f>
        <v>0</v>
      </c>
      <c r="AA10" s="12">
        <f>SUMIF(LANC_HORAS[OP/OS],LAN_OP[[#This Row],[OP/OS]],LANC_HORAS[TOTAL H.N])</f>
        <v>0</v>
      </c>
      <c r="AB10" s="12">
        <f>SUMIF(LANC_HORAS[OP/OS],LAN_OP[[#This Row],[OP/OS]],LANC_HORAS[TOTAL H.E])</f>
        <v>0</v>
      </c>
      <c r="AC10" s="10">
        <f>SUMIF(LANC_DESPESAS[OS/OP],LAN_OP[[#This Row],[OP/OS]],LANC_DESPESAS[OBSERVAÇÕES])</f>
        <v>0</v>
      </c>
      <c r="AD10" s="3">
        <f>SUMIF(LANC_DESLOC[OS/OP],LAN_OP[[#This Row],[OP/OS]],LANC_DESLOC[ANO])</f>
        <v>0</v>
      </c>
      <c r="AE1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0" s="3">
        <f>LAN_OP[[#This Row],[TOTAL PARCIAL (M.O+MT+DESP)]]*1.08</f>
        <v>0</v>
      </c>
      <c r="AG10" s="3">
        <f>LAN_OP[[#This Row],[TOTAL PARCIAL + OUTROS CUSTOS (8%)]]*1.09</f>
        <v>0</v>
      </c>
      <c r="AH10" t="str">
        <f>IF(AND(U10&gt;=CALENDARIO!$B$2,U10&lt;=CALENDARIO!$C$2),"JANEIRO",IF(AND(U10&gt;=CALENDARIO!$B$3,U10&lt;=CALENDARIO!$C$3),"FEVEREIRO",IF(AND(U10&gt;=CALENDARIO!$B$4,U10&lt;=CALENDARIO!$C$4),"MARÇO",IF(AND(U10&gt;=CALENDARIO!$B$5,U10&lt;=CALENDARIO!$C$5),"ABRIL",IF(AND(U10&gt;=CALENDARIO!$B$6,U10&lt;=CALENDARIO!$C$6),"MAIO",IF(AND(U10&gt;=CALENDARIO!$B$7,U10&lt;=CALENDARIO!$C$7),"JUNHO",IF(AND(U10&gt;=CALENDARIO!$B$8,U10&lt;=CALENDARIO!$C$8),"JULHO",IF(AND(U10&gt;=CALENDARIO!$B$9,U10&lt;=CALENDARIO!$C$9),"AGOSTO",IF(AND(U10&gt;=CALENDARIO!$B$10,U10&lt;=CALENDARIO!$C$10),"SETEMBRO",IF(AND(U10&gt;=CALENDARIO!$B$11,U10&lt;=CALENDARIO!$C$11),"OUTUBRO",IF(AND(U10&gt;=CALENDARIO!$B$12,U10&lt;=CALENDARIO!$C$12),"NOVEMBRO",IF(AND(U10&gt;=CALENDARIO!$B$13,U10&lt;=CALENDARIO!$C$13),"DEZEMBRO","-"))))))))))))</f>
        <v>-</v>
      </c>
      <c r="AI10" s="3">
        <f>LAN_OP[[#This Row],[VALOR CONTRATO]]-LAN_OP[[#This Row],[TOTAL CUSTO (O.C + DI + MT + MO+DESP)]]</f>
        <v>0</v>
      </c>
      <c r="AJ10" s="11" t="str">
        <f>IFERROR(LAN_OP[[#This Row],[R$ (CONTRATO - CUSTOS)]]/LAN_OP[[#This Row],[VALOR CONTRATO]],"")</f>
        <v/>
      </c>
      <c r="AK10" s="3">
        <f>LAN_OP[[#This Row],[VALOR CONTRATO]]-LAN_OP[[#This Row],[VALOR FATURADO]]</f>
        <v>0</v>
      </c>
      <c r="AL10" s="3" t="str">
        <f>IF(AND(C10&gt;=CALENDARIO!$B$2,C10&lt;=CALENDARIO!$C$2),"JANEIRO",IF(AND(C10&gt;=CALENDARIO!$B$3,C10&lt;=CALENDARIO!$C$3),"FEVEREIRO",IF(AND(C10&gt;=CALENDARIO!$B$4,C10&lt;=CALENDARIO!$C$4),"MARÇO",IF(AND(C10&gt;=CALENDARIO!$B$5,C10&lt;=CALENDARIO!$C$5),"ABRIL",IF(AND(C10&gt;=CALENDARIO!$B$6,C10&lt;=CALENDARIO!$C$6),"MAIO",IF(AND(C10&gt;=CALENDARIO!$B$7,C10&lt;=CALENDARIO!$C$7),"JUNHO",IF(AND(C10&gt;=CALENDARIO!$B$8,C10&lt;=CALENDARIO!$C$8),"JULHO",IF(AND(C10&gt;=CALENDARIO!$B$9,C10&lt;=CALENDARIO!$C$9),"AGOSTO",IF(AND(C10&gt;=CALENDARIO!$B$10,C10&lt;=CALENDARIO!$C$10),"SETEMBRO",IF(AND(C10&gt;=CALENDARIO!$B$11,C10&lt;=CALENDARIO!$C$11),"OUTUBRO",IF(AND(C10&gt;=CALENDARIO!$B$12,C10&lt;=CALENDARIO!$C$12),"NOVEMBRO",IF(AND(C10&gt;=CALENDARIO!$B$13,C10&lt;=CALENDARIO!$C$13),"DEZEMBRO","-"))))))))))))</f>
        <v>-</v>
      </c>
      <c r="AM10" s="3" t="str">
        <f>RIGHT(LAN_OP[[#This Row],[OP/OS]],4)</f>
        <v/>
      </c>
    </row>
    <row r="11" spans="1:39" x14ac:dyDescent="0.3">
      <c r="B11" s="80"/>
      <c r="C11" s="140"/>
      <c r="G11"/>
      <c r="H11"/>
      <c r="I11" s="3"/>
      <c r="J11" s="3"/>
      <c r="K11" s="11" t="e">
        <f>LAN_OP[[#This Row],[VALOR FATURADO]]/LAN_OP[[#This Row],[VALOR CONTRATO]]</f>
        <v>#DIV/0!</v>
      </c>
      <c r="L11" s="4">
        <f>LAN_OP[[#This Row],[VALOR CONTRATO]]-LAN_OP[[#This Row],[VALOR FATURADO]]</f>
        <v>0</v>
      </c>
      <c r="M11" s="11" t="e">
        <v>#DIV/0!</v>
      </c>
      <c r="P11" s="11"/>
      <c r="Q11" s="141"/>
      <c r="R11" s="3"/>
      <c r="S11" s="4"/>
      <c r="T11" s="8" t="str">
        <f>IFERROR(VLOOKUP(LAN_OP[[#This Row],[OP/OS]],LANC_FAT!A:M,2,0),"-")</f>
        <v>-</v>
      </c>
      <c r="U11" s="9" t="str">
        <f>IFERROR(VLOOKUP(LAN_OP[[#This Row],[OP/OS]],LANC_FAT!A:M,8,0),"-")</f>
        <v>-</v>
      </c>
      <c r="V11" s="10">
        <f>SUMIF(LANC_FAT[OP/OS],LAN_OP[[#This Row],[OP/OS]],LANC_FAT[VALOR DA NF COM IMPOSTO])</f>
        <v>0</v>
      </c>
      <c r="W11" s="3"/>
      <c r="X11" s="10">
        <f>SUMIF(LANC_COMPRA[OP/OS],LAN_OP[[#This Row],[OP/OS]],LANC_COMPRA[[VALOR ]])</f>
        <v>0</v>
      </c>
      <c r="Y11" s="10">
        <f>SUMIF(LANC_HORAS[OP/OS],LAN_OP[[#This Row],[OP/OS]],LANC_HORAS[TOTAL GERAL NORMAL])</f>
        <v>0</v>
      </c>
      <c r="Z11" s="10">
        <f>SUMIF(LANC_HORAS[OP/OS],LAN_OP[[#This Row],[OP/OS]],LANC_HORAS[TOTAL GERAL EXTRAS])</f>
        <v>0</v>
      </c>
      <c r="AA11" s="12">
        <f>SUMIF(LANC_HORAS[OP/OS],LAN_OP[[#This Row],[OP/OS]],LANC_HORAS[TOTAL H.N])</f>
        <v>0</v>
      </c>
      <c r="AB11" s="12">
        <f>SUMIF(LANC_HORAS[OP/OS],LAN_OP[[#This Row],[OP/OS]],LANC_HORAS[TOTAL H.E])</f>
        <v>0</v>
      </c>
      <c r="AC11" s="10">
        <f>SUMIF(LANC_DESPESAS[OS/OP],LAN_OP[[#This Row],[OP/OS]],LANC_DESPESAS[OBSERVAÇÕES])</f>
        <v>0</v>
      </c>
      <c r="AD11" s="3">
        <f>SUMIF(LANC_DESLOC[OS/OP],LAN_OP[[#This Row],[OP/OS]],LANC_DESLOC[ANO])</f>
        <v>0</v>
      </c>
      <c r="AE1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1" s="3">
        <f>LAN_OP[[#This Row],[TOTAL PARCIAL (M.O+MT+DESP)]]*1.08</f>
        <v>0</v>
      </c>
      <c r="AG11" s="3">
        <f>LAN_OP[[#This Row],[TOTAL PARCIAL + OUTROS CUSTOS (8%)]]*1.09</f>
        <v>0</v>
      </c>
      <c r="AH11" t="str">
        <f>IF(AND(U11&gt;=CALENDARIO!$B$2,U11&lt;=CALENDARIO!$C$2),"JANEIRO",IF(AND(U11&gt;=CALENDARIO!$B$3,U11&lt;=CALENDARIO!$C$3),"FEVEREIRO",IF(AND(U11&gt;=CALENDARIO!$B$4,U11&lt;=CALENDARIO!$C$4),"MARÇO",IF(AND(U11&gt;=CALENDARIO!$B$5,U11&lt;=CALENDARIO!$C$5),"ABRIL",IF(AND(U11&gt;=CALENDARIO!$B$6,U11&lt;=CALENDARIO!$C$6),"MAIO",IF(AND(U11&gt;=CALENDARIO!$B$7,U11&lt;=CALENDARIO!$C$7),"JUNHO",IF(AND(U11&gt;=CALENDARIO!$B$8,U11&lt;=CALENDARIO!$C$8),"JULHO",IF(AND(U11&gt;=CALENDARIO!$B$9,U11&lt;=CALENDARIO!$C$9),"AGOSTO",IF(AND(U11&gt;=CALENDARIO!$B$10,U11&lt;=CALENDARIO!$C$10),"SETEMBRO",IF(AND(U11&gt;=CALENDARIO!$B$11,U11&lt;=CALENDARIO!$C$11),"OUTUBRO",IF(AND(U11&gt;=CALENDARIO!$B$12,U11&lt;=CALENDARIO!$C$12),"NOVEMBRO",IF(AND(U11&gt;=CALENDARIO!$B$13,U11&lt;=CALENDARIO!$C$13),"DEZEMBRO","-"))))))))))))</f>
        <v>-</v>
      </c>
      <c r="AI11" s="3">
        <f>LAN_OP[[#This Row],[VALOR CONTRATO]]-LAN_OP[[#This Row],[TOTAL CUSTO (O.C + DI + MT + MO+DESP)]]</f>
        <v>0</v>
      </c>
      <c r="AJ11" s="11" t="str">
        <f>IFERROR(LAN_OP[[#This Row],[R$ (CONTRATO - CUSTOS)]]/LAN_OP[[#This Row],[VALOR CONTRATO]],"")</f>
        <v/>
      </c>
      <c r="AK11" s="3">
        <f>LAN_OP[[#This Row],[VALOR CONTRATO]]-LAN_OP[[#This Row],[VALOR FATURADO]]</f>
        <v>0</v>
      </c>
      <c r="AL11" s="3" t="str">
        <f>IF(AND(C11&gt;=CALENDARIO!$B$2,C11&lt;=CALENDARIO!$C$2),"JANEIRO",IF(AND(C11&gt;=CALENDARIO!$B$3,C11&lt;=CALENDARIO!$C$3),"FEVEREIRO",IF(AND(C11&gt;=CALENDARIO!$B$4,C11&lt;=CALENDARIO!$C$4),"MARÇO",IF(AND(C11&gt;=CALENDARIO!$B$5,C11&lt;=CALENDARIO!$C$5),"ABRIL",IF(AND(C11&gt;=CALENDARIO!$B$6,C11&lt;=CALENDARIO!$C$6),"MAIO",IF(AND(C11&gt;=CALENDARIO!$B$7,C11&lt;=CALENDARIO!$C$7),"JUNHO",IF(AND(C11&gt;=CALENDARIO!$B$8,C11&lt;=CALENDARIO!$C$8),"JULHO",IF(AND(C11&gt;=CALENDARIO!$B$9,C11&lt;=CALENDARIO!$C$9),"AGOSTO",IF(AND(C11&gt;=CALENDARIO!$B$10,C11&lt;=CALENDARIO!$C$10),"SETEMBRO",IF(AND(C11&gt;=CALENDARIO!$B$11,C11&lt;=CALENDARIO!$C$11),"OUTUBRO",IF(AND(C11&gt;=CALENDARIO!$B$12,C11&lt;=CALENDARIO!$C$12),"NOVEMBRO",IF(AND(C11&gt;=CALENDARIO!$B$13,C11&lt;=CALENDARIO!$C$13),"DEZEMBRO","-"))))))))))))</f>
        <v>-</v>
      </c>
      <c r="AM11" s="3" t="str">
        <f>RIGHT(LAN_OP[[#This Row],[OP/OS]],4)</f>
        <v/>
      </c>
    </row>
    <row r="12" spans="1:39" x14ac:dyDescent="0.3">
      <c r="B12" s="80"/>
      <c r="C12" s="140"/>
      <c r="G12"/>
      <c r="H12"/>
      <c r="I12" s="3"/>
      <c r="J12" s="3"/>
      <c r="K12" s="11" t="e">
        <f>LAN_OP[[#This Row],[VALOR FATURADO]]/LAN_OP[[#This Row],[VALOR CONTRATO]]</f>
        <v>#DIV/0!</v>
      </c>
      <c r="L12" s="4">
        <f>LAN_OP[[#This Row],[VALOR CONTRATO]]-LAN_OP[[#This Row],[VALOR FATURADO]]</f>
        <v>0</v>
      </c>
      <c r="M12" s="11" t="e">
        <v>#DIV/0!</v>
      </c>
      <c r="P12" s="11"/>
      <c r="Q12" s="141"/>
      <c r="R12" s="3"/>
      <c r="S12" s="4"/>
      <c r="T12" s="8" t="str">
        <f>IFERROR(VLOOKUP(LAN_OP[[#This Row],[OP/OS]],LANC_FAT!A:M,2,0),"-")</f>
        <v>-</v>
      </c>
      <c r="U12" s="9" t="str">
        <f>IFERROR(VLOOKUP(LAN_OP[[#This Row],[OP/OS]],LANC_FAT!A:M,8,0),"-")</f>
        <v>-</v>
      </c>
      <c r="V12" s="10">
        <f>SUMIF(LANC_FAT[OP/OS],LAN_OP[[#This Row],[OP/OS]],LANC_FAT[VALOR DA NF COM IMPOSTO])</f>
        <v>0</v>
      </c>
      <c r="W12" s="3"/>
      <c r="X12" s="10">
        <f>SUMIF(LANC_COMPRA[OP/OS],LAN_OP[[#This Row],[OP/OS]],LANC_COMPRA[[VALOR ]])</f>
        <v>0</v>
      </c>
      <c r="Y12" s="10">
        <f>SUMIF(LANC_HORAS[OP/OS],LAN_OP[[#This Row],[OP/OS]],LANC_HORAS[TOTAL GERAL NORMAL])</f>
        <v>0</v>
      </c>
      <c r="Z12" s="10">
        <f>SUMIF(LANC_HORAS[OP/OS],LAN_OP[[#This Row],[OP/OS]],LANC_HORAS[TOTAL GERAL EXTRAS])</f>
        <v>0</v>
      </c>
      <c r="AA12" s="12">
        <f>SUMIF(LANC_HORAS[OP/OS],LAN_OP[[#This Row],[OP/OS]],LANC_HORAS[TOTAL H.N])</f>
        <v>0</v>
      </c>
      <c r="AB12" s="12">
        <f>SUMIF(LANC_HORAS[OP/OS],LAN_OP[[#This Row],[OP/OS]],LANC_HORAS[TOTAL H.E])</f>
        <v>0</v>
      </c>
      <c r="AC12" s="10">
        <f>SUMIF(LANC_DESPESAS[OS/OP],LAN_OP[[#This Row],[OP/OS]],LANC_DESPESAS[OBSERVAÇÕES])</f>
        <v>0</v>
      </c>
      <c r="AD12" s="3">
        <f>SUMIF(LANC_DESLOC[OS/OP],LAN_OP[[#This Row],[OP/OS]],LANC_DESLOC[ANO])</f>
        <v>0</v>
      </c>
      <c r="AE1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2" s="3">
        <f>LAN_OP[[#This Row],[TOTAL PARCIAL (M.O+MT+DESP)]]*1.08</f>
        <v>0</v>
      </c>
      <c r="AG12" s="3">
        <f>LAN_OP[[#This Row],[TOTAL PARCIAL + OUTROS CUSTOS (8%)]]*1.09</f>
        <v>0</v>
      </c>
      <c r="AH12" t="str">
        <f>IF(AND(U12&gt;=CALENDARIO!$B$2,U12&lt;=CALENDARIO!$C$2),"JANEIRO",IF(AND(U12&gt;=CALENDARIO!$B$3,U12&lt;=CALENDARIO!$C$3),"FEVEREIRO",IF(AND(U12&gt;=CALENDARIO!$B$4,U12&lt;=CALENDARIO!$C$4),"MARÇO",IF(AND(U12&gt;=CALENDARIO!$B$5,U12&lt;=CALENDARIO!$C$5),"ABRIL",IF(AND(U12&gt;=CALENDARIO!$B$6,U12&lt;=CALENDARIO!$C$6),"MAIO",IF(AND(U12&gt;=CALENDARIO!$B$7,U12&lt;=CALENDARIO!$C$7),"JUNHO",IF(AND(U12&gt;=CALENDARIO!$B$8,U12&lt;=CALENDARIO!$C$8),"JULHO",IF(AND(U12&gt;=CALENDARIO!$B$9,U12&lt;=CALENDARIO!$C$9),"AGOSTO",IF(AND(U12&gt;=CALENDARIO!$B$10,U12&lt;=CALENDARIO!$C$10),"SETEMBRO",IF(AND(U12&gt;=CALENDARIO!$B$11,U12&lt;=CALENDARIO!$C$11),"OUTUBRO",IF(AND(U12&gt;=CALENDARIO!$B$12,U12&lt;=CALENDARIO!$C$12),"NOVEMBRO",IF(AND(U12&gt;=CALENDARIO!$B$13,U12&lt;=CALENDARIO!$C$13),"DEZEMBRO","-"))))))))))))</f>
        <v>-</v>
      </c>
      <c r="AI12" s="3">
        <f>LAN_OP[[#This Row],[VALOR CONTRATO]]-LAN_OP[[#This Row],[TOTAL CUSTO (O.C + DI + MT + MO+DESP)]]</f>
        <v>0</v>
      </c>
      <c r="AJ12" s="11" t="str">
        <f>IFERROR(LAN_OP[[#This Row],[R$ (CONTRATO - CUSTOS)]]/LAN_OP[[#This Row],[VALOR CONTRATO]],"")</f>
        <v/>
      </c>
      <c r="AK12" s="3">
        <f>LAN_OP[[#This Row],[VALOR CONTRATO]]-LAN_OP[[#This Row],[VALOR FATURADO]]</f>
        <v>0</v>
      </c>
      <c r="AL12" s="3" t="str">
        <f>IF(AND(C12&gt;=CALENDARIO!$B$2,C12&lt;=CALENDARIO!$C$2),"JANEIRO",IF(AND(C12&gt;=CALENDARIO!$B$3,C12&lt;=CALENDARIO!$C$3),"FEVEREIRO",IF(AND(C12&gt;=CALENDARIO!$B$4,C12&lt;=CALENDARIO!$C$4),"MARÇO",IF(AND(C12&gt;=CALENDARIO!$B$5,C12&lt;=CALENDARIO!$C$5),"ABRIL",IF(AND(C12&gt;=CALENDARIO!$B$6,C12&lt;=CALENDARIO!$C$6),"MAIO",IF(AND(C12&gt;=CALENDARIO!$B$7,C12&lt;=CALENDARIO!$C$7),"JUNHO",IF(AND(C12&gt;=CALENDARIO!$B$8,C12&lt;=CALENDARIO!$C$8),"JULHO",IF(AND(C12&gt;=CALENDARIO!$B$9,C12&lt;=CALENDARIO!$C$9),"AGOSTO",IF(AND(C12&gt;=CALENDARIO!$B$10,C12&lt;=CALENDARIO!$C$10),"SETEMBRO",IF(AND(C12&gt;=CALENDARIO!$B$11,C12&lt;=CALENDARIO!$C$11),"OUTUBRO",IF(AND(C12&gt;=CALENDARIO!$B$12,C12&lt;=CALENDARIO!$C$12),"NOVEMBRO",IF(AND(C12&gt;=CALENDARIO!$B$13,C12&lt;=CALENDARIO!$C$13),"DEZEMBRO","-"))))))))))))</f>
        <v>-</v>
      </c>
      <c r="AM12" s="3" t="str">
        <f>RIGHT(LAN_OP[[#This Row],[OP/OS]],4)</f>
        <v/>
      </c>
    </row>
    <row r="13" spans="1:39" x14ac:dyDescent="0.3">
      <c r="B13" s="80"/>
      <c r="C13" s="140"/>
      <c r="G13"/>
      <c r="H13"/>
      <c r="I13" s="3"/>
      <c r="J13" s="3"/>
      <c r="K13" s="11" t="e">
        <f>LAN_OP[[#This Row],[VALOR FATURADO]]/LAN_OP[[#This Row],[VALOR CONTRATO]]</f>
        <v>#DIV/0!</v>
      </c>
      <c r="L13" s="4">
        <f>LAN_OP[[#This Row],[VALOR CONTRATO]]-LAN_OP[[#This Row],[VALOR FATURADO]]</f>
        <v>0</v>
      </c>
      <c r="M13" s="11" t="e">
        <v>#DIV/0!</v>
      </c>
      <c r="P13" s="11"/>
      <c r="Q13" s="141"/>
      <c r="R13" s="3"/>
      <c r="S13" s="4"/>
      <c r="T13" s="8" t="str">
        <f>IFERROR(VLOOKUP(LAN_OP[[#This Row],[OP/OS]],LANC_FAT!A:M,2,0),"-")</f>
        <v>-</v>
      </c>
      <c r="U13" s="9" t="str">
        <f>IFERROR(VLOOKUP(LAN_OP[[#This Row],[OP/OS]],LANC_FAT!A:M,8,0),"-")</f>
        <v>-</v>
      </c>
      <c r="V13" s="10">
        <f>SUMIF(LANC_FAT[OP/OS],LAN_OP[[#This Row],[OP/OS]],LANC_FAT[VALOR DA NF COM IMPOSTO])</f>
        <v>0</v>
      </c>
      <c r="W13" s="3"/>
      <c r="X13" s="10">
        <f>SUMIF(LANC_COMPRA[OP/OS],LAN_OP[[#This Row],[OP/OS]],LANC_COMPRA[[VALOR ]])</f>
        <v>0</v>
      </c>
      <c r="Y13" s="10">
        <f>SUMIF(LANC_HORAS[OP/OS],LAN_OP[[#This Row],[OP/OS]],LANC_HORAS[TOTAL GERAL NORMAL])</f>
        <v>0</v>
      </c>
      <c r="Z13" s="10">
        <f>SUMIF(LANC_HORAS[OP/OS],LAN_OP[[#This Row],[OP/OS]],LANC_HORAS[TOTAL GERAL EXTRAS])</f>
        <v>0</v>
      </c>
      <c r="AA13" s="12">
        <f>SUMIF(LANC_HORAS[OP/OS],LAN_OP[[#This Row],[OP/OS]],LANC_HORAS[TOTAL H.N])</f>
        <v>0</v>
      </c>
      <c r="AB13" s="12">
        <f>SUMIF(LANC_HORAS[OP/OS],LAN_OP[[#This Row],[OP/OS]],LANC_HORAS[TOTAL H.E])</f>
        <v>0</v>
      </c>
      <c r="AC13" s="10">
        <f>SUMIF(LANC_DESPESAS[OS/OP],LAN_OP[[#This Row],[OP/OS]],LANC_DESPESAS[OBSERVAÇÕES])</f>
        <v>0</v>
      </c>
      <c r="AD13" s="3">
        <f>SUMIF(LANC_DESLOC[OS/OP],LAN_OP[[#This Row],[OP/OS]],LANC_DESLOC[ANO])</f>
        <v>0</v>
      </c>
      <c r="AE1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3" s="3">
        <f>LAN_OP[[#This Row],[TOTAL PARCIAL (M.O+MT+DESP)]]*1.08</f>
        <v>0</v>
      </c>
      <c r="AG13" s="3">
        <f>LAN_OP[[#This Row],[TOTAL PARCIAL + OUTROS CUSTOS (8%)]]*1.09</f>
        <v>0</v>
      </c>
      <c r="AH13" t="str">
        <f>IF(AND(U13&gt;=CALENDARIO!$B$2,U13&lt;=CALENDARIO!$C$2),"JANEIRO",IF(AND(U13&gt;=CALENDARIO!$B$3,U13&lt;=CALENDARIO!$C$3),"FEVEREIRO",IF(AND(U13&gt;=CALENDARIO!$B$4,U13&lt;=CALENDARIO!$C$4),"MARÇO",IF(AND(U13&gt;=CALENDARIO!$B$5,U13&lt;=CALENDARIO!$C$5),"ABRIL",IF(AND(U13&gt;=CALENDARIO!$B$6,U13&lt;=CALENDARIO!$C$6),"MAIO",IF(AND(U13&gt;=CALENDARIO!$B$7,U13&lt;=CALENDARIO!$C$7),"JUNHO",IF(AND(U13&gt;=CALENDARIO!$B$8,U13&lt;=CALENDARIO!$C$8),"JULHO",IF(AND(U13&gt;=CALENDARIO!$B$9,U13&lt;=CALENDARIO!$C$9),"AGOSTO",IF(AND(U13&gt;=CALENDARIO!$B$10,U13&lt;=CALENDARIO!$C$10),"SETEMBRO",IF(AND(U13&gt;=CALENDARIO!$B$11,U13&lt;=CALENDARIO!$C$11),"OUTUBRO",IF(AND(U13&gt;=CALENDARIO!$B$12,U13&lt;=CALENDARIO!$C$12),"NOVEMBRO",IF(AND(U13&gt;=CALENDARIO!$B$13,U13&lt;=CALENDARIO!$C$13),"DEZEMBRO","-"))))))))))))</f>
        <v>-</v>
      </c>
      <c r="AI13" s="3">
        <f>LAN_OP[[#This Row],[VALOR CONTRATO]]-LAN_OP[[#This Row],[TOTAL CUSTO (O.C + DI + MT + MO+DESP)]]</f>
        <v>0</v>
      </c>
      <c r="AJ13" s="11" t="str">
        <f>IFERROR(LAN_OP[[#This Row],[R$ (CONTRATO - CUSTOS)]]/LAN_OP[[#This Row],[VALOR CONTRATO]],"")</f>
        <v/>
      </c>
      <c r="AK13" s="3">
        <f>LAN_OP[[#This Row],[VALOR CONTRATO]]-LAN_OP[[#This Row],[VALOR FATURADO]]</f>
        <v>0</v>
      </c>
      <c r="AL13" s="3" t="str">
        <f>IF(AND(C13&gt;=CALENDARIO!$B$2,C13&lt;=CALENDARIO!$C$2),"JANEIRO",IF(AND(C13&gt;=CALENDARIO!$B$3,C13&lt;=CALENDARIO!$C$3),"FEVEREIRO",IF(AND(C13&gt;=CALENDARIO!$B$4,C13&lt;=CALENDARIO!$C$4),"MARÇO",IF(AND(C13&gt;=CALENDARIO!$B$5,C13&lt;=CALENDARIO!$C$5),"ABRIL",IF(AND(C13&gt;=CALENDARIO!$B$6,C13&lt;=CALENDARIO!$C$6),"MAIO",IF(AND(C13&gt;=CALENDARIO!$B$7,C13&lt;=CALENDARIO!$C$7),"JUNHO",IF(AND(C13&gt;=CALENDARIO!$B$8,C13&lt;=CALENDARIO!$C$8),"JULHO",IF(AND(C13&gt;=CALENDARIO!$B$9,C13&lt;=CALENDARIO!$C$9),"AGOSTO",IF(AND(C13&gt;=CALENDARIO!$B$10,C13&lt;=CALENDARIO!$C$10),"SETEMBRO",IF(AND(C13&gt;=CALENDARIO!$B$11,C13&lt;=CALENDARIO!$C$11),"OUTUBRO",IF(AND(C13&gt;=CALENDARIO!$B$12,C13&lt;=CALENDARIO!$C$12),"NOVEMBRO",IF(AND(C13&gt;=CALENDARIO!$B$13,C13&lt;=CALENDARIO!$C$13),"DEZEMBRO","-"))))))))))))</f>
        <v>-</v>
      </c>
      <c r="AM13" s="3" t="str">
        <f>RIGHT(LAN_OP[[#This Row],[OP/OS]],4)</f>
        <v/>
      </c>
    </row>
    <row r="14" spans="1:39" x14ac:dyDescent="0.3">
      <c r="B14" s="80"/>
      <c r="C14" s="140"/>
      <c r="G14"/>
      <c r="H14"/>
      <c r="I14" s="3"/>
      <c r="J14" s="3"/>
      <c r="K14" s="11" t="e">
        <f>LAN_OP[[#This Row],[VALOR FATURADO]]/LAN_OP[[#This Row],[VALOR CONTRATO]]</f>
        <v>#DIV/0!</v>
      </c>
      <c r="L14" s="4">
        <f>LAN_OP[[#This Row],[VALOR CONTRATO]]-LAN_OP[[#This Row],[VALOR FATURADO]]</f>
        <v>0</v>
      </c>
      <c r="M14" s="11" t="e">
        <v>#DIV/0!</v>
      </c>
      <c r="P14" s="11"/>
      <c r="Q14" s="141"/>
      <c r="R14" s="3"/>
      <c r="S14" s="4"/>
      <c r="T14" s="8" t="str">
        <f>IFERROR(VLOOKUP(LAN_OP[[#This Row],[OP/OS]],LANC_FAT!A:M,2,0),"-")</f>
        <v>-</v>
      </c>
      <c r="U14" s="9" t="str">
        <f>IFERROR(VLOOKUP(LAN_OP[[#This Row],[OP/OS]],LANC_FAT!A:M,8,0),"-")</f>
        <v>-</v>
      </c>
      <c r="V14" s="10">
        <f>SUMIF(LANC_FAT[OP/OS],LAN_OP[[#This Row],[OP/OS]],LANC_FAT[VALOR DA NF COM IMPOSTO])</f>
        <v>0</v>
      </c>
      <c r="W14" s="3"/>
      <c r="X14" s="10">
        <f>SUMIF(LANC_COMPRA[OP/OS],LAN_OP[[#This Row],[OP/OS]],LANC_COMPRA[[VALOR ]])</f>
        <v>0</v>
      </c>
      <c r="Y14" s="10">
        <f>SUMIF(LANC_HORAS[OP/OS],LAN_OP[[#This Row],[OP/OS]],LANC_HORAS[TOTAL GERAL NORMAL])</f>
        <v>0</v>
      </c>
      <c r="Z14" s="10">
        <f>SUMIF(LANC_HORAS[OP/OS],LAN_OP[[#This Row],[OP/OS]],LANC_HORAS[TOTAL GERAL EXTRAS])</f>
        <v>0</v>
      </c>
      <c r="AA14" s="12">
        <f>SUMIF(LANC_HORAS[OP/OS],LAN_OP[[#This Row],[OP/OS]],LANC_HORAS[TOTAL H.N])</f>
        <v>0</v>
      </c>
      <c r="AB14" s="12">
        <f>SUMIF(LANC_HORAS[OP/OS],LAN_OP[[#This Row],[OP/OS]],LANC_HORAS[TOTAL H.E])</f>
        <v>0</v>
      </c>
      <c r="AC14" s="10">
        <f>SUMIF(LANC_DESPESAS[OS/OP],LAN_OP[[#This Row],[OP/OS]],LANC_DESPESAS[OBSERVAÇÕES])</f>
        <v>0</v>
      </c>
      <c r="AD14" s="3">
        <f>SUMIF(LANC_DESLOC[OS/OP],LAN_OP[[#This Row],[OP/OS]],LANC_DESLOC[ANO])</f>
        <v>0</v>
      </c>
      <c r="AE1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4" s="3">
        <f>LAN_OP[[#This Row],[TOTAL PARCIAL (M.O+MT+DESP)]]*1.08</f>
        <v>0</v>
      </c>
      <c r="AG14" s="3">
        <f>LAN_OP[[#This Row],[TOTAL PARCIAL + OUTROS CUSTOS (8%)]]*1.09</f>
        <v>0</v>
      </c>
      <c r="AH14" t="str">
        <f>IF(AND(U14&gt;=CALENDARIO!$B$2,U14&lt;=CALENDARIO!$C$2),"JANEIRO",IF(AND(U14&gt;=CALENDARIO!$B$3,U14&lt;=CALENDARIO!$C$3),"FEVEREIRO",IF(AND(U14&gt;=CALENDARIO!$B$4,U14&lt;=CALENDARIO!$C$4),"MARÇO",IF(AND(U14&gt;=CALENDARIO!$B$5,U14&lt;=CALENDARIO!$C$5),"ABRIL",IF(AND(U14&gt;=CALENDARIO!$B$6,U14&lt;=CALENDARIO!$C$6),"MAIO",IF(AND(U14&gt;=CALENDARIO!$B$7,U14&lt;=CALENDARIO!$C$7),"JUNHO",IF(AND(U14&gt;=CALENDARIO!$B$8,U14&lt;=CALENDARIO!$C$8),"JULHO",IF(AND(U14&gt;=CALENDARIO!$B$9,U14&lt;=CALENDARIO!$C$9),"AGOSTO",IF(AND(U14&gt;=CALENDARIO!$B$10,U14&lt;=CALENDARIO!$C$10),"SETEMBRO",IF(AND(U14&gt;=CALENDARIO!$B$11,U14&lt;=CALENDARIO!$C$11),"OUTUBRO",IF(AND(U14&gt;=CALENDARIO!$B$12,U14&lt;=CALENDARIO!$C$12),"NOVEMBRO",IF(AND(U14&gt;=CALENDARIO!$B$13,U14&lt;=CALENDARIO!$C$13),"DEZEMBRO","-"))))))))))))</f>
        <v>-</v>
      </c>
      <c r="AI14" s="3">
        <f>LAN_OP[[#This Row],[VALOR CONTRATO]]-LAN_OP[[#This Row],[TOTAL CUSTO (O.C + DI + MT + MO+DESP)]]</f>
        <v>0</v>
      </c>
      <c r="AJ14" s="11" t="str">
        <f>IFERROR(LAN_OP[[#This Row],[R$ (CONTRATO - CUSTOS)]]/LAN_OP[[#This Row],[VALOR CONTRATO]],"")</f>
        <v/>
      </c>
      <c r="AK14" s="3">
        <f>LAN_OP[[#This Row],[VALOR CONTRATO]]-LAN_OP[[#This Row],[VALOR FATURADO]]</f>
        <v>0</v>
      </c>
      <c r="AL14" s="3" t="str">
        <f>IF(AND(C14&gt;=CALENDARIO!$B$2,C14&lt;=CALENDARIO!$C$2),"JANEIRO",IF(AND(C14&gt;=CALENDARIO!$B$3,C14&lt;=CALENDARIO!$C$3),"FEVEREIRO",IF(AND(C14&gt;=CALENDARIO!$B$4,C14&lt;=CALENDARIO!$C$4),"MARÇO",IF(AND(C14&gt;=CALENDARIO!$B$5,C14&lt;=CALENDARIO!$C$5),"ABRIL",IF(AND(C14&gt;=CALENDARIO!$B$6,C14&lt;=CALENDARIO!$C$6),"MAIO",IF(AND(C14&gt;=CALENDARIO!$B$7,C14&lt;=CALENDARIO!$C$7),"JUNHO",IF(AND(C14&gt;=CALENDARIO!$B$8,C14&lt;=CALENDARIO!$C$8),"JULHO",IF(AND(C14&gt;=CALENDARIO!$B$9,C14&lt;=CALENDARIO!$C$9),"AGOSTO",IF(AND(C14&gt;=CALENDARIO!$B$10,C14&lt;=CALENDARIO!$C$10),"SETEMBRO",IF(AND(C14&gt;=CALENDARIO!$B$11,C14&lt;=CALENDARIO!$C$11),"OUTUBRO",IF(AND(C14&gt;=CALENDARIO!$B$12,C14&lt;=CALENDARIO!$C$12),"NOVEMBRO",IF(AND(C14&gt;=CALENDARIO!$B$13,C14&lt;=CALENDARIO!$C$13),"DEZEMBRO","-"))))))))))))</f>
        <v>-</v>
      </c>
      <c r="AM14" s="3" t="str">
        <f>RIGHT(LAN_OP[[#This Row],[OP/OS]],4)</f>
        <v/>
      </c>
    </row>
    <row r="15" spans="1:39" x14ac:dyDescent="0.3">
      <c r="B15" s="80"/>
      <c r="C15" s="140"/>
      <c r="G15"/>
      <c r="H15"/>
      <c r="I15" s="3"/>
      <c r="J15" s="3"/>
      <c r="K15" s="11" t="e">
        <f>LAN_OP[[#This Row],[VALOR FATURADO]]/LAN_OP[[#This Row],[VALOR CONTRATO]]</f>
        <v>#DIV/0!</v>
      </c>
      <c r="L15" s="4">
        <f>LAN_OP[[#This Row],[VALOR CONTRATO]]-LAN_OP[[#This Row],[VALOR FATURADO]]</f>
        <v>0</v>
      </c>
      <c r="M15" s="11" t="e">
        <v>#DIV/0!</v>
      </c>
      <c r="P15" s="11"/>
      <c r="Q15" s="141"/>
      <c r="R15" s="3"/>
      <c r="S15" s="4"/>
      <c r="T15" s="8" t="str">
        <f>IFERROR(VLOOKUP(LAN_OP[[#This Row],[OP/OS]],LANC_FAT!A:M,2,0),"-")</f>
        <v>-</v>
      </c>
      <c r="U15" s="9" t="str">
        <f>IFERROR(VLOOKUP(LAN_OP[[#This Row],[OP/OS]],LANC_FAT!A:M,8,0),"-")</f>
        <v>-</v>
      </c>
      <c r="V15" s="10">
        <f>SUMIF(LANC_FAT[OP/OS],LAN_OP[[#This Row],[OP/OS]],LANC_FAT[VALOR DA NF COM IMPOSTO])</f>
        <v>0</v>
      </c>
      <c r="W15" s="3"/>
      <c r="X15" s="10">
        <f>SUMIF(LANC_COMPRA[OP/OS],LAN_OP[[#This Row],[OP/OS]],LANC_COMPRA[[VALOR ]])</f>
        <v>0</v>
      </c>
      <c r="Y15" s="10">
        <f>SUMIF(LANC_HORAS[OP/OS],LAN_OP[[#This Row],[OP/OS]],LANC_HORAS[TOTAL GERAL NORMAL])</f>
        <v>0</v>
      </c>
      <c r="Z15" s="10">
        <f>SUMIF(LANC_HORAS[OP/OS],LAN_OP[[#This Row],[OP/OS]],LANC_HORAS[TOTAL GERAL EXTRAS])</f>
        <v>0</v>
      </c>
      <c r="AA15" s="12">
        <f>SUMIF(LANC_HORAS[OP/OS],LAN_OP[[#This Row],[OP/OS]],LANC_HORAS[TOTAL H.N])</f>
        <v>0</v>
      </c>
      <c r="AB15" s="12">
        <f>SUMIF(LANC_HORAS[OP/OS],LAN_OP[[#This Row],[OP/OS]],LANC_HORAS[TOTAL H.E])</f>
        <v>0</v>
      </c>
      <c r="AC15" s="10">
        <f>SUMIF(LANC_DESPESAS[OS/OP],LAN_OP[[#This Row],[OP/OS]],LANC_DESPESAS[OBSERVAÇÕES])</f>
        <v>0</v>
      </c>
      <c r="AD15" s="3">
        <f>SUMIF(LANC_DESLOC[OS/OP],LAN_OP[[#This Row],[OP/OS]],LANC_DESLOC[ANO])</f>
        <v>0</v>
      </c>
      <c r="AE1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5" s="3">
        <f>LAN_OP[[#This Row],[TOTAL PARCIAL (M.O+MT+DESP)]]*1.08</f>
        <v>0</v>
      </c>
      <c r="AG15" s="3">
        <f>LAN_OP[[#This Row],[TOTAL PARCIAL + OUTROS CUSTOS (8%)]]*1.09</f>
        <v>0</v>
      </c>
      <c r="AH15" t="str">
        <f>IF(AND(U15&gt;=CALENDARIO!$B$2,U15&lt;=CALENDARIO!$C$2),"JANEIRO",IF(AND(U15&gt;=CALENDARIO!$B$3,U15&lt;=CALENDARIO!$C$3),"FEVEREIRO",IF(AND(U15&gt;=CALENDARIO!$B$4,U15&lt;=CALENDARIO!$C$4),"MARÇO",IF(AND(U15&gt;=CALENDARIO!$B$5,U15&lt;=CALENDARIO!$C$5),"ABRIL",IF(AND(U15&gt;=CALENDARIO!$B$6,U15&lt;=CALENDARIO!$C$6),"MAIO",IF(AND(U15&gt;=CALENDARIO!$B$7,U15&lt;=CALENDARIO!$C$7),"JUNHO",IF(AND(U15&gt;=CALENDARIO!$B$8,U15&lt;=CALENDARIO!$C$8),"JULHO",IF(AND(U15&gt;=CALENDARIO!$B$9,U15&lt;=CALENDARIO!$C$9),"AGOSTO",IF(AND(U15&gt;=CALENDARIO!$B$10,U15&lt;=CALENDARIO!$C$10),"SETEMBRO",IF(AND(U15&gt;=CALENDARIO!$B$11,U15&lt;=CALENDARIO!$C$11),"OUTUBRO",IF(AND(U15&gt;=CALENDARIO!$B$12,U15&lt;=CALENDARIO!$C$12),"NOVEMBRO",IF(AND(U15&gt;=CALENDARIO!$B$13,U15&lt;=CALENDARIO!$C$13),"DEZEMBRO","-"))))))))))))</f>
        <v>-</v>
      </c>
      <c r="AI15" s="3">
        <f>LAN_OP[[#This Row],[VALOR CONTRATO]]-LAN_OP[[#This Row],[TOTAL CUSTO (O.C + DI + MT + MO+DESP)]]</f>
        <v>0</v>
      </c>
      <c r="AJ15" s="11" t="str">
        <f>IFERROR(LAN_OP[[#This Row],[R$ (CONTRATO - CUSTOS)]]/LAN_OP[[#This Row],[VALOR CONTRATO]],"")</f>
        <v/>
      </c>
      <c r="AK15" s="3">
        <f>LAN_OP[[#This Row],[VALOR CONTRATO]]-LAN_OP[[#This Row],[VALOR FATURADO]]</f>
        <v>0</v>
      </c>
      <c r="AL15" s="3" t="str">
        <f>IF(AND(C15&gt;=CALENDARIO!$B$2,C15&lt;=CALENDARIO!$C$2),"JANEIRO",IF(AND(C15&gt;=CALENDARIO!$B$3,C15&lt;=CALENDARIO!$C$3),"FEVEREIRO",IF(AND(C15&gt;=CALENDARIO!$B$4,C15&lt;=CALENDARIO!$C$4),"MARÇO",IF(AND(C15&gt;=CALENDARIO!$B$5,C15&lt;=CALENDARIO!$C$5),"ABRIL",IF(AND(C15&gt;=CALENDARIO!$B$6,C15&lt;=CALENDARIO!$C$6),"MAIO",IF(AND(C15&gt;=CALENDARIO!$B$7,C15&lt;=CALENDARIO!$C$7),"JUNHO",IF(AND(C15&gt;=CALENDARIO!$B$8,C15&lt;=CALENDARIO!$C$8),"JULHO",IF(AND(C15&gt;=CALENDARIO!$B$9,C15&lt;=CALENDARIO!$C$9),"AGOSTO",IF(AND(C15&gt;=CALENDARIO!$B$10,C15&lt;=CALENDARIO!$C$10),"SETEMBRO",IF(AND(C15&gt;=CALENDARIO!$B$11,C15&lt;=CALENDARIO!$C$11),"OUTUBRO",IF(AND(C15&gt;=CALENDARIO!$B$12,C15&lt;=CALENDARIO!$C$12),"NOVEMBRO",IF(AND(C15&gt;=CALENDARIO!$B$13,C15&lt;=CALENDARIO!$C$13),"DEZEMBRO","-"))))))))))))</f>
        <v>-</v>
      </c>
      <c r="AM15" s="3" t="str">
        <f>RIGHT(LAN_OP[[#This Row],[OP/OS]],4)</f>
        <v/>
      </c>
    </row>
    <row r="16" spans="1:39" x14ac:dyDescent="0.3">
      <c r="B16" s="80"/>
      <c r="C16" s="140"/>
      <c r="G16"/>
      <c r="H16"/>
      <c r="I16" s="3"/>
      <c r="J16" s="3"/>
      <c r="K16" s="11" t="e">
        <f>LAN_OP[[#This Row],[VALOR FATURADO]]/LAN_OP[[#This Row],[VALOR CONTRATO]]</f>
        <v>#DIV/0!</v>
      </c>
      <c r="L16" s="4">
        <f>LAN_OP[[#This Row],[VALOR CONTRATO]]-LAN_OP[[#This Row],[VALOR FATURADO]]</f>
        <v>0</v>
      </c>
      <c r="M16" s="11" t="e">
        <v>#DIV/0!</v>
      </c>
      <c r="P16" s="11"/>
      <c r="Q16" s="141"/>
      <c r="R16" s="3"/>
      <c r="S16" s="4"/>
      <c r="T16" s="8" t="str">
        <f>IFERROR(VLOOKUP(LAN_OP[[#This Row],[OP/OS]],LANC_FAT!A:M,2,0),"-")</f>
        <v>-</v>
      </c>
      <c r="U16" s="9" t="str">
        <f>IFERROR(VLOOKUP(LAN_OP[[#This Row],[OP/OS]],LANC_FAT!A:M,8,0),"-")</f>
        <v>-</v>
      </c>
      <c r="V16" s="10">
        <f>SUMIF(LANC_FAT[OP/OS],LAN_OP[[#This Row],[OP/OS]],LANC_FAT[VALOR DA NF COM IMPOSTO])</f>
        <v>0</v>
      </c>
      <c r="W16" s="3"/>
      <c r="X16" s="10">
        <f>SUMIF(LANC_COMPRA[OP/OS],LAN_OP[[#This Row],[OP/OS]],LANC_COMPRA[[VALOR ]])</f>
        <v>0</v>
      </c>
      <c r="Y16" s="10">
        <f>SUMIF(LANC_HORAS[OP/OS],LAN_OP[[#This Row],[OP/OS]],LANC_HORAS[TOTAL GERAL NORMAL])</f>
        <v>0</v>
      </c>
      <c r="Z16" s="10">
        <f>SUMIF(LANC_HORAS[OP/OS],LAN_OP[[#This Row],[OP/OS]],LANC_HORAS[TOTAL GERAL EXTRAS])</f>
        <v>0</v>
      </c>
      <c r="AA16" s="12">
        <f>SUMIF(LANC_HORAS[OP/OS],LAN_OP[[#This Row],[OP/OS]],LANC_HORAS[TOTAL H.N])</f>
        <v>0</v>
      </c>
      <c r="AB16" s="12">
        <f>SUMIF(LANC_HORAS[OP/OS],LAN_OP[[#This Row],[OP/OS]],LANC_HORAS[TOTAL H.E])</f>
        <v>0</v>
      </c>
      <c r="AC16" s="10">
        <f>SUMIF(LANC_DESPESAS[OS/OP],LAN_OP[[#This Row],[OP/OS]],LANC_DESPESAS[OBSERVAÇÕES])</f>
        <v>0</v>
      </c>
      <c r="AD16" s="3">
        <f>SUMIF(LANC_DESLOC[OS/OP],LAN_OP[[#This Row],[OP/OS]],LANC_DESLOC[ANO])</f>
        <v>0</v>
      </c>
      <c r="AE1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6" s="3">
        <f>LAN_OP[[#This Row],[TOTAL PARCIAL (M.O+MT+DESP)]]*1.08</f>
        <v>0</v>
      </c>
      <c r="AG16" s="3">
        <f>LAN_OP[[#This Row],[TOTAL PARCIAL + OUTROS CUSTOS (8%)]]*1.09</f>
        <v>0</v>
      </c>
      <c r="AH16" t="str">
        <f>IF(AND(U16&gt;=CALENDARIO!$B$2,U16&lt;=CALENDARIO!$C$2),"JANEIRO",IF(AND(U16&gt;=CALENDARIO!$B$3,U16&lt;=CALENDARIO!$C$3),"FEVEREIRO",IF(AND(U16&gt;=CALENDARIO!$B$4,U16&lt;=CALENDARIO!$C$4),"MARÇO",IF(AND(U16&gt;=CALENDARIO!$B$5,U16&lt;=CALENDARIO!$C$5),"ABRIL",IF(AND(U16&gt;=CALENDARIO!$B$6,U16&lt;=CALENDARIO!$C$6),"MAIO",IF(AND(U16&gt;=CALENDARIO!$B$7,U16&lt;=CALENDARIO!$C$7),"JUNHO",IF(AND(U16&gt;=CALENDARIO!$B$8,U16&lt;=CALENDARIO!$C$8),"JULHO",IF(AND(U16&gt;=CALENDARIO!$B$9,U16&lt;=CALENDARIO!$C$9),"AGOSTO",IF(AND(U16&gt;=CALENDARIO!$B$10,U16&lt;=CALENDARIO!$C$10),"SETEMBRO",IF(AND(U16&gt;=CALENDARIO!$B$11,U16&lt;=CALENDARIO!$C$11),"OUTUBRO",IF(AND(U16&gt;=CALENDARIO!$B$12,U16&lt;=CALENDARIO!$C$12),"NOVEMBRO",IF(AND(U16&gt;=CALENDARIO!$B$13,U16&lt;=CALENDARIO!$C$13),"DEZEMBRO","-"))))))))))))</f>
        <v>-</v>
      </c>
      <c r="AI16" s="3">
        <f>LAN_OP[[#This Row],[VALOR CONTRATO]]-LAN_OP[[#This Row],[TOTAL CUSTO (O.C + DI + MT + MO+DESP)]]</f>
        <v>0</v>
      </c>
      <c r="AJ16" s="11" t="str">
        <f>IFERROR(LAN_OP[[#This Row],[R$ (CONTRATO - CUSTOS)]]/LAN_OP[[#This Row],[VALOR CONTRATO]],"")</f>
        <v/>
      </c>
      <c r="AK16" s="3">
        <f>LAN_OP[[#This Row],[VALOR CONTRATO]]-LAN_OP[[#This Row],[VALOR FATURADO]]</f>
        <v>0</v>
      </c>
      <c r="AL16" s="3" t="str">
        <f>IF(AND(C16&gt;=CALENDARIO!$B$2,C16&lt;=CALENDARIO!$C$2),"JANEIRO",IF(AND(C16&gt;=CALENDARIO!$B$3,C16&lt;=CALENDARIO!$C$3),"FEVEREIRO",IF(AND(C16&gt;=CALENDARIO!$B$4,C16&lt;=CALENDARIO!$C$4),"MARÇO",IF(AND(C16&gt;=CALENDARIO!$B$5,C16&lt;=CALENDARIO!$C$5),"ABRIL",IF(AND(C16&gt;=CALENDARIO!$B$6,C16&lt;=CALENDARIO!$C$6),"MAIO",IF(AND(C16&gt;=CALENDARIO!$B$7,C16&lt;=CALENDARIO!$C$7),"JUNHO",IF(AND(C16&gt;=CALENDARIO!$B$8,C16&lt;=CALENDARIO!$C$8),"JULHO",IF(AND(C16&gt;=CALENDARIO!$B$9,C16&lt;=CALENDARIO!$C$9),"AGOSTO",IF(AND(C16&gt;=CALENDARIO!$B$10,C16&lt;=CALENDARIO!$C$10),"SETEMBRO",IF(AND(C16&gt;=CALENDARIO!$B$11,C16&lt;=CALENDARIO!$C$11),"OUTUBRO",IF(AND(C16&gt;=CALENDARIO!$B$12,C16&lt;=CALENDARIO!$C$12),"NOVEMBRO",IF(AND(C16&gt;=CALENDARIO!$B$13,C16&lt;=CALENDARIO!$C$13),"DEZEMBRO","-"))))))))))))</f>
        <v>-</v>
      </c>
      <c r="AM16" s="3" t="str">
        <f>RIGHT(LAN_OP[[#This Row],[OP/OS]],4)</f>
        <v/>
      </c>
    </row>
    <row r="17" spans="2:39" x14ac:dyDescent="0.3">
      <c r="B17" s="80"/>
      <c r="C17" s="140"/>
      <c r="G17"/>
      <c r="H17"/>
      <c r="I17" s="3"/>
      <c r="J17" s="3"/>
      <c r="K17" s="11" t="e">
        <f>LAN_OP[[#This Row],[VALOR FATURADO]]/LAN_OP[[#This Row],[VALOR CONTRATO]]</f>
        <v>#DIV/0!</v>
      </c>
      <c r="L17" s="4">
        <f>LAN_OP[[#This Row],[VALOR CONTRATO]]-LAN_OP[[#This Row],[VALOR FATURADO]]</f>
        <v>0</v>
      </c>
      <c r="M17" s="11" t="e">
        <v>#DIV/0!</v>
      </c>
      <c r="P17" s="11"/>
      <c r="Q17" s="141"/>
      <c r="R17" s="3"/>
      <c r="S17" s="4"/>
      <c r="T17" s="8" t="str">
        <f>IFERROR(VLOOKUP(LAN_OP[[#This Row],[OP/OS]],LANC_FAT!A:M,2,0),"-")</f>
        <v>-</v>
      </c>
      <c r="U17" s="9" t="str">
        <f>IFERROR(VLOOKUP(LAN_OP[[#This Row],[OP/OS]],LANC_FAT!A:M,8,0),"-")</f>
        <v>-</v>
      </c>
      <c r="V17" s="10">
        <f>SUMIF(LANC_FAT[OP/OS],LAN_OP[[#This Row],[OP/OS]],LANC_FAT[VALOR DA NF COM IMPOSTO])</f>
        <v>0</v>
      </c>
      <c r="W17" s="3"/>
      <c r="X17" s="10">
        <f>SUMIF(LANC_COMPRA[OP/OS],LAN_OP[[#This Row],[OP/OS]],LANC_COMPRA[[VALOR ]])</f>
        <v>0</v>
      </c>
      <c r="Y17" s="10">
        <f>SUMIF(LANC_HORAS[OP/OS],LAN_OP[[#This Row],[OP/OS]],LANC_HORAS[TOTAL GERAL NORMAL])</f>
        <v>0</v>
      </c>
      <c r="Z17" s="10">
        <f>SUMIF(LANC_HORAS[OP/OS],LAN_OP[[#This Row],[OP/OS]],LANC_HORAS[TOTAL GERAL EXTRAS])</f>
        <v>0</v>
      </c>
      <c r="AA17" s="12">
        <f>SUMIF(LANC_HORAS[OP/OS],LAN_OP[[#This Row],[OP/OS]],LANC_HORAS[TOTAL H.N])</f>
        <v>0</v>
      </c>
      <c r="AB17" s="12">
        <f>SUMIF(LANC_HORAS[OP/OS],LAN_OP[[#This Row],[OP/OS]],LANC_HORAS[TOTAL H.E])</f>
        <v>0</v>
      </c>
      <c r="AC17" s="10">
        <f>SUMIF(LANC_DESPESAS[OS/OP],LAN_OP[[#This Row],[OP/OS]],LANC_DESPESAS[OBSERVAÇÕES])</f>
        <v>0</v>
      </c>
      <c r="AD17" s="3">
        <f>SUMIF(LANC_DESLOC[OS/OP],LAN_OP[[#This Row],[OP/OS]],LANC_DESLOC[ANO])</f>
        <v>0</v>
      </c>
      <c r="AE1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7" s="3">
        <f>LAN_OP[[#This Row],[TOTAL PARCIAL (M.O+MT+DESP)]]*1.08</f>
        <v>0</v>
      </c>
      <c r="AG17" s="3">
        <f>LAN_OP[[#This Row],[TOTAL PARCIAL + OUTROS CUSTOS (8%)]]*1.09</f>
        <v>0</v>
      </c>
      <c r="AH17" t="str">
        <f>IF(AND(U17&gt;=CALENDARIO!$B$2,U17&lt;=CALENDARIO!$C$2),"JANEIRO",IF(AND(U17&gt;=CALENDARIO!$B$3,U17&lt;=CALENDARIO!$C$3),"FEVEREIRO",IF(AND(U17&gt;=CALENDARIO!$B$4,U17&lt;=CALENDARIO!$C$4),"MARÇO",IF(AND(U17&gt;=CALENDARIO!$B$5,U17&lt;=CALENDARIO!$C$5),"ABRIL",IF(AND(U17&gt;=CALENDARIO!$B$6,U17&lt;=CALENDARIO!$C$6),"MAIO",IF(AND(U17&gt;=CALENDARIO!$B$7,U17&lt;=CALENDARIO!$C$7),"JUNHO",IF(AND(U17&gt;=CALENDARIO!$B$8,U17&lt;=CALENDARIO!$C$8),"JULHO",IF(AND(U17&gt;=CALENDARIO!$B$9,U17&lt;=CALENDARIO!$C$9),"AGOSTO",IF(AND(U17&gt;=CALENDARIO!$B$10,U17&lt;=CALENDARIO!$C$10),"SETEMBRO",IF(AND(U17&gt;=CALENDARIO!$B$11,U17&lt;=CALENDARIO!$C$11),"OUTUBRO",IF(AND(U17&gt;=CALENDARIO!$B$12,U17&lt;=CALENDARIO!$C$12),"NOVEMBRO",IF(AND(U17&gt;=CALENDARIO!$B$13,U17&lt;=CALENDARIO!$C$13),"DEZEMBRO","-"))))))))))))</f>
        <v>-</v>
      </c>
      <c r="AI17" s="3">
        <f>LAN_OP[[#This Row],[VALOR CONTRATO]]-LAN_OP[[#This Row],[TOTAL CUSTO (O.C + DI + MT + MO+DESP)]]</f>
        <v>0</v>
      </c>
      <c r="AJ17" s="11" t="str">
        <f>IFERROR(LAN_OP[[#This Row],[R$ (CONTRATO - CUSTOS)]]/LAN_OP[[#This Row],[VALOR CONTRATO]],"")</f>
        <v/>
      </c>
      <c r="AK17" s="3">
        <f>LAN_OP[[#This Row],[VALOR CONTRATO]]-LAN_OP[[#This Row],[VALOR FATURADO]]</f>
        <v>0</v>
      </c>
      <c r="AL17" s="3" t="str">
        <f>IF(AND(C17&gt;=CALENDARIO!$B$2,C17&lt;=CALENDARIO!$C$2),"JANEIRO",IF(AND(C17&gt;=CALENDARIO!$B$3,C17&lt;=CALENDARIO!$C$3),"FEVEREIRO",IF(AND(C17&gt;=CALENDARIO!$B$4,C17&lt;=CALENDARIO!$C$4),"MARÇO",IF(AND(C17&gt;=CALENDARIO!$B$5,C17&lt;=CALENDARIO!$C$5),"ABRIL",IF(AND(C17&gt;=CALENDARIO!$B$6,C17&lt;=CALENDARIO!$C$6),"MAIO",IF(AND(C17&gt;=CALENDARIO!$B$7,C17&lt;=CALENDARIO!$C$7),"JUNHO",IF(AND(C17&gt;=CALENDARIO!$B$8,C17&lt;=CALENDARIO!$C$8),"JULHO",IF(AND(C17&gt;=CALENDARIO!$B$9,C17&lt;=CALENDARIO!$C$9),"AGOSTO",IF(AND(C17&gt;=CALENDARIO!$B$10,C17&lt;=CALENDARIO!$C$10),"SETEMBRO",IF(AND(C17&gt;=CALENDARIO!$B$11,C17&lt;=CALENDARIO!$C$11),"OUTUBRO",IF(AND(C17&gt;=CALENDARIO!$B$12,C17&lt;=CALENDARIO!$C$12),"NOVEMBRO",IF(AND(C17&gt;=CALENDARIO!$B$13,C17&lt;=CALENDARIO!$C$13),"DEZEMBRO","-"))))))))))))</f>
        <v>-</v>
      </c>
      <c r="AM17" s="3" t="str">
        <f>RIGHT(LAN_OP[[#This Row],[OP/OS]],4)</f>
        <v/>
      </c>
    </row>
    <row r="18" spans="2:39" x14ac:dyDescent="0.3">
      <c r="B18" s="80"/>
      <c r="C18" s="140"/>
      <c r="G18"/>
      <c r="H18"/>
      <c r="I18" s="3"/>
      <c r="J18" s="3"/>
      <c r="K18" s="11" t="e">
        <f>LAN_OP[[#This Row],[VALOR FATURADO]]/LAN_OP[[#This Row],[VALOR CONTRATO]]</f>
        <v>#DIV/0!</v>
      </c>
      <c r="L18" s="4">
        <f>LAN_OP[[#This Row],[VALOR CONTRATO]]-LAN_OP[[#This Row],[VALOR FATURADO]]</f>
        <v>0</v>
      </c>
      <c r="M18" s="11" t="e">
        <v>#DIV/0!</v>
      </c>
      <c r="P18" s="11"/>
      <c r="Q18" s="141"/>
      <c r="R18" s="3"/>
      <c r="S18" s="4"/>
      <c r="T18" s="8" t="str">
        <f>IFERROR(VLOOKUP(LAN_OP[[#This Row],[OP/OS]],LANC_FAT!A:M,2,0),"-")</f>
        <v>-</v>
      </c>
      <c r="U18" s="9" t="str">
        <f>IFERROR(VLOOKUP(LAN_OP[[#This Row],[OP/OS]],LANC_FAT!A:M,8,0),"-")</f>
        <v>-</v>
      </c>
      <c r="V18" s="10">
        <f>SUMIF(LANC_FAT[OP/OS],LAN_OP[[#This Row],[OP/OS]],LANC_FAT[VALOR DA NF COM IMPOSTO])</f>
        <v>0</v>
      </c>
      <c r="W18" s="3"/>
      <c r="X18" s="10">
        <f>SUMIF(LANC_COMPRA[OP/OS],LAN_OP[[#This Row],[OP/OS]],LANC_COMPRA[[VALOR ]])</f>
        <v>0</v>
      </c>
      <c r="Y18" s="10">
        <f>SUMIF(LANC_HORAS[OP/OS],LAN_OP[[#This Row],[OP/OS]],LANC_HORAS[TOTAL GERAL NORMAL])</f>
        <v>0</v>
      </c>
      <c r="Z18" s="10">
        <f>SUMIF(LANC_HORAS[OP/OS],LAN_OP[[#This Row],[OP/OS]],LANC_HORAS[TOTAL GERAL EXTRAS])</f>
        <v>0</v>
      </c>
      <c r="AA18" s="12">
        <f>SUMIF(LANC_HORAS[OP/OS],LAN_OP[[#This Row],[OP/OS]],LANC_HORAS[TOTAL H.N])</f>
        <v>0</v>
      </c>
      <c r="AB18" s="12">
        <f>SUMIF(LANC_HORAS[OP/OS],LAN_OP[[#This Row],[OP/OS]],LANC_HORAS[TOTAL H.E])</f>
        <v>0</v>
      </c>
      <c r="AC18" s="10">
        <f>SUMIF(LANC_DESPESAS[OS/OP],LAN_OP[[#This Row],[OP/OS]],LANC_DESPESAS[OBSERVAÇÕES])</f>
        <v>0</v>
      </c>
      <c r="AD18" s="3">
        <f>SUMIF(LANC_DESLOC[OS/OP],LAN_OP[[#This Row],[OP/OS]],LANC_DESLOC[ANO])</f>
        <v>0</v>
      </c>
      <c r="AE1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8" s="3">
        <f>LAN_OP[[#This Row],[TOTAL PARCIAL (M.O+MT+DESP)]]*1.08</f>
        <v>0</v>
      </c>
      <c r="AG18" s="3">
        <f>LAN_OP[[#This Row],[TOTAL PARCIAL + OUTROS CUSTOS (8%)]]*1.09</f>
        <v>0</v>
      </c>
      <c r="AH18" t="str">
        <f>IF(AND(U18&gt;=CALENDARIO!$B$2,U18&lt;=CALENDARIO!$C$2),"JANEIRO",IF(AND(U18&gt;=CALENDARIO!$B$3,U18&lt;=CALENDARIO!$C$3),"FEVEREIRO",IF(AND(U18&gt;=CALENDARIO!$B$4,U18&lt;=CALENDARIO!$C$4),"MARÇO",IF(AND(U18&gt;=CALENDARIO!$B$5,U18&lt;=CALENDARIO!$C$5),"ABRIL",IF(AND(U18&gt;=CALENDARIO!$B$6,U18&lt;=CALENDARIO!$C$6),"MAIO",IF(AND(U18&gt;=CALENDARIO!$B$7,U18&lt;=CALENDARIO!$C$7),"JUNHO",IF(AND(U18&gt;=CALENDARIO!$B$8,U18&lt;=CALENDARIO!$C$8),"JULHO",IF(AND(U18&gt;=CALENDARIO!$B$9,U18&lt;=CALENDARIO!$C$9),"AGOSTO",IF(AND(U18&gt;=CALENDARIO!$B$10,U18&lt;=CALENDARIO!$C$10),"SETEMBRO",IF(AND(U18&gt;=CALENDARIO!$B$11,U18&lt;=CALENDARIO!$C$11),"OUTUBRO",IF(AND(U18&gt;=CALENDARIO!$B$12,U18&lt;=CALENDARIO!$C$12),"NOVEMBRO",IF(AND(U18&gt;=CALENDARIO!$B$13,U18&lt;=CALENDARIO!$C$13),"DEZEMBRO","-"))))))))))))</f>
        <v>-</v>
      </c>
      <c r="AI18" s="3">
        <f>LAN_OP[[#This Row],[VALOR CONTRATO]]-LAN_OP[[#This Row],[TOTAL CUSTO (O.C + DI + MT + MO+DESP)]]</f>
        <v>0</v>
      </c>
      <c r="AJ18" s="11" t="str">
        <f>IFERROR(LAN_OP[[#This Row],[R$ (CONTRATO - CUSTOS)]]/LAN_OP[[#This Row],[VALOR CONTRATO]],"")</f>
        <v/>
      </c>
      <c r="AK18" s="3">
        <f>LAN_OP[[#This Row],[VALOR CONTRATO]]-LAN_OP[[#This Row],[VALOR FATURADO]]</f>
        <v>0</v>
      </c>
      <c r="AL18" s="3" t="str">
        <f>IF(AND(C18&gt;=CALENDARIO!$B$2,C18&lt;=CALENDARIO!$C$2),"JANEIRO",IF(AND(C18&gt;=CALENDARIO!$B$3,C18&lt;=CALENDARIO!$C$3),"FEVEREIRO",IF(AND(C18&gt;=CALENDARIO!$B$4,C18&lt;=CALENDARIO!$C$4),"MARÇO",IF(AND(C18&gt;=CALENDARIO!$B$5,C18&lt;=CALENDARIO!$C$5),"ABRIL",IF(AND(C18&gt;=CALENDARIO!$B$6,C18&lt;=CALENDARIO!$C$6),"MAIO",IF(AND(C18&gt;=CALENDARIO!$B$7,C18&lt;=CALENDARIO!$C$7),"JUNHO",IF(AND(C18&gt;=CALENDARIO!$B$8,C18&lt;=CALENDARIO!$C$8),"JULHO",IF(AND(C18&gt;=CALENDARIO!$B$9,C18&lt;=CALENDARIO!$C$9),"AGOSTO",IF(AND(C18&gt;=CALENDARIO!$B$10,C18&lt;=CALENDARIO!$C$10),"SETEMBRO",IF(AND(C18&gt;=CALENDARIO!$B$11,C18&lt;=CALENDARIO!$C$11),"OUTUBRO",IF(AND(C18&gt;=CALENDARIO!$B$12,C18&lt;=CALENDARIO!$C$12),"NOVEMBRO",IF(AND(C18&gt;=CALENDARIO!$B$13,C18&lt;=CALENDARIO!$C$13),"DEZEMBRO","-"))))))))))))</f>
        <v>-</v>
      </c>
      <c r="AM18" s="3" t="str">
        <f>RIGHT(LAN_OP[[#This Row],[OP/OS]],4)</f>
        <v/>
      </c>
    </row>
    <row r="19" spans="2:39" x14ac:dyDescent="0.3">
      <c r="B19" s="80"/>
      <c r="C19" s="140"/>
      <c r="G19"/>
      <c r="H19"/>
      <c r="I19" s="3"/>
      <c r="J19" s="3"/>
      <c r="K19" s="11" t="e">
        <f>LAN_OP[[#This Row],[VALOR FATURADO]]/LAN_OP[[#This Row],[VALOR CONTRATO]]</f>
        <v>#DIV/0!</v>
      </c>
      <c r="L19" s="4">
        <f>LAN_OP[[#This Row],[VALOR CONTRATO]]-LAN_OP[[#This Row],[VALOR FATURADO]]</f>
        <v>0</v>
      </c>
      <c r="M19" s="11" t="e">
        <v>#DIV/0!</v>
      </c>
      <c r="P19" s="11"/>
      <c r="Q19" s="141"/>
      <c r="R19" s="3"/>
      <c r="S19" s="4"/>
      <c r="T19" s="8" t="str">
        <f>IFERROR(VLOOKUP(LAN_OP[[#This Row],[OP/OS]],LANC_FAT!A:M,2,0),"-")</f>
        <v>-</v>
      </c>
      <c r="U19" s="9" t="str">
        <f>IFERROR(VLOOKUP(LAN_OP[[#This Row],[OP/OS]],LANC_FAT!A:M,8,0),"-")</f>
        <v>-</v>
      </c>
      <c r="V19" s="10">
        <f>SUMIF(LANC_FAT[OP/OS],LAN_OP[[#This Row],[OP/OS]],LANC_FAT[VALOR DA NF COM IMPOSTO])</f>
        <v>0</v>
      </c>
      <c r="W19" s="3"/>
      <c r="X19" s="10">
        <f>SUMIF(LANC_COMPRA[OP/OS],LAN_OP[[#This Row],[OP/OS]],LANC_COMPRA[[VALOR ]])</f>
        <v>0</v>
      </c>
      <c r="Y19" s="10">
        <f>SUMIF(LANC_HORAS[OP/OS],LAN_OP[[#This Row],[OP/OS]],LANC_HORAS[TOTAL GERAL NORMAL])</f>
        <v>0</v>
      </c>
      <c r="Z19" s="10">
        <f>SUMIF(LANC_HORAS[OP/OS],LAN_OP[[#This Row],[OP/OS]],LANC_HORAS[TOTAL GERAL EXTRAS])</f>
        <v>0</v>
      </c>
      <c r="AA19" s="12">
        <f>SUMIF(LANC_HORAS[OP/OS],LAN_OP[[#This Row],[OP/OS]],LANC_HORAS[TOTAL H.N])</f>
        <v>0</v>
      </c>
      <c r="AB19" s="12">
        <f>SUMIF(LANC_HORAS[OP/OS],LAN_OP[[#This Row],[OP/OS]],LANC_HORAS[TOTAL H.E])</f>
        <v>0</v>
      </c>
      <c r="AC19" s="10">
        <f>SUMIF(LANC_DESPESAS[OS/OP],LAN_OP[[#This Row],[OP/OS]],LANC_DESPESAS[OBSERVAÇÕES])</f>
        <v>0</v>
      </c>
      <c r="AD19" s="3">
        <f>SUMIF(LANC_DESLOC[OS/OP],LAN_OP[[#This Row],[OP/OS]],LANC_DESLOC[ANO])</f>
        <v>0</v>
      </c>
      <c r="AE1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19" s="3">
        <f>LAN_OP[[#This Row],[TOTAL PARCIAL (M.O+MT+DESP)]]*1.08</f>
        <v>0</v>
      </c>
      <c r="AG19" s="3">
        <f>LAN_OP[[#This Row],[TOTAL PARCIAL + OUTROS CUSTOS (8%)]]*1.09</f>
        <v>0</v>
      </c>
      <c r="AH19" t="str">
        <f>IF(AND(U19&gt;=CALENDARIO!$B$2,U19&lt;=CALENDARIO!$C$2),"JANEIRO",IF(AND(U19&gt;=CALENDARIO!$B$3,U19&lt;=CALENDARIO!$C$3),"FEVEREIRO",IF(AND(U19&gt;=CALENDARIO!$B$4,U19&lt;=CALENDARIO!$C$4),"MARÇO",IF(AND(U19&gt;=CALENDARIO!$B$5,U19&lt;=CALENDARIO!$C$5),"ABRIL",IF(AND(U19&gt;=CALENDARIO!$B$6,U19&lt;=CALENDARIO!$C$6),"MAIO",IF(AND(U19&gt;=CALENDARIO!$B$7,U19&lt;=CALENDARIO!$C$7),"JUNHO",IF(AND(U19&gt;=CALENDARIO!$B$8,U19&lt;=CALENDARIO!$C$8),"JULHO",IF(AND(U19&gt;=CALENDARIO!$B$9,U19&lt;=CALENDARIO!$C$9),"AGOSTO",IF(AND(U19&gt;=CALENDARIO!$B$10,U19&lt;=CALENDARIO!$C$10),"SETEMBRO",IF(AND(U19&gt;=CALENDARIO!$B$11,U19&lt;=CALENDARIO!$C$11),"OUTUBRO",IF(AND(U19&gt;=CALENDARIO!$B$12,U19&lt;=CALENDARIO!$C$12),"NOVEMBRO",IF(AND(U19&gt;=CALENDARIO!$B$13,U19&lt;=CALENDARIO!$C$13),"DEZEMBRO","-"))))))))))))</f>
        <v>-</v>
      </c>
      <c r="AI19" s="3">
        <f>LAN_OP[[#This Row],[VALOR CONTRATO]]-LAN_OP[[#This Row],[TOTAL CUSTO (O.C + DI + MT + MO+DESP)]]</f>
        <v>0</v>
      </c>
      <c r="AJ19" s="11" t="str">
        <f>IFERROR(LAN_OP[[#This Row],[R$ (CONTRATO - CUSTOS)]]/LAN_OP[[#This Row],[VALOR CONTRATO]],"")</f>
        <v/>
      </c>
      <c r="AK19" s="3">
        <f>LAN_OP[[#This Row],[VALOR CONTRATO]]-LAN_OP[[#This Row],[VALOR FATURADO]]</f>
        <v>0</v>
      </c>
      <c r="AL19" s="3" t="str">
        <f>IF(AND(C19&gt;=CALENDARIO!$B$2,C19&lt;=CALENDARIO!$C$2),"JANEIRO",IF(AND(C19&gt;=CALENDARIO!$B$3,C19&lt;=CALENDARIO!$C$3),"FEVEREIRO",IF(AND(C19&gt;=CALENDARIO!$B$4,C19&lt;=CALENDARIO!$C$4),"MARÇO",IF(AND(C19&gt;=CALENDARIO!$B$5,C19&lt;=CALENDARIO!$C$5),"ABRIL",IF(AND(C19&gt;=CALENDARIO!$B$6,C19&lt;=CALENDARIO!$C$6),"MAIO",IF(AND(C19&gt;=CALENDARIO!$B$7,C19&lt;=CALENDARIO!$C$7),"JUNHO",IF(AND(C19&gt;=CALENDARIO!$B$8,C19&lt;=CALENDARIO!$C$8),"JULHO",IF(AND(C19&gt;=CALENDARIO!$B$9,C19&lt;=CALENDARIO!$C$9),"AGOSTO",IF(AND(C19&gt;=CALENDARIO!$B$10,C19&lt;=CALENDARIO!$C$10),"SETEMBRO",IF(AND(C19&gt;=CALENDARIO!$B$11,C19&lt;=CALENDARIO!$C$11),"OUTUBRO",IF(AND(C19&gt;=CALENDARIO!$B$12,C19&lt;=CALENDARIO!$C$12),"NOVEMBRO",IF(AND(C19&gt;=CALENDARIO!$B$13,C19&lt;=CALENDARIO!$C$13),"DEZEMBRO","-"))))))))))))</f>
        <v>-</v>
      </c>
      <c r="AM19" s="3" t="str">
        <f>RIGHT(LAN_OP[[#This Row],[OP/OS]],4)</f>
        <v/>
      </c>
    </row>
    <row r="20" spans="2:39" x14ac:dyDescent="0.3">
      <c r="B20" s="80"/>
      <c r="C20" s="140"/>
      <c r="G20"/>
      <c r="H20"/>
      <c r="I20" s="3"/>
      <c r="J20" s="3"/>
      <c r="K20" s="11" t="e">
        <f>LAN_OP[[#This Row],[VALOR FATURADO]]/LAN_OP[[#This Row],[VALOR CONTRATO]]</f>
        <v>#DIV/0!</v>
      </c>
      <c r="L20" s="4">
        <f>LAN_OP[[#This Row],[VALOR CONTRATO]]-LAN_OP[[#This Row],[VALOR FATURADO]]</f>
        <v>0</v>
      </c>
      <c r="M20" s="11" t="e">
        <v>#DIV/0!</v>
      </c>
      <c r="P20" s="11"/>
      <c r="Q20" s="141"/>
      <c r="R20" s="3"/>
      <c r="S20" s="4"/>
      <c r="T20" s="8" t="str">
        <f>IFERROR(VLOOKUP(LAN_OP[[#This Row],[OP/OS]],LANC_FAT!A:M,2,0),"-")</f>
        <v>-</v>
      </c>
      <c r="U20" s="9" t="str">
        <f>IFERROR(VLOOKUP(LAN_OP[[#This Row],[OP/OS]],LANC_FAT!A:M,8,0),"-")</f>
        <v>-</v>
      </c>
      <c r="V20" s="10">
        <f>SUMIF(LANC_FAT[OP/OS],LAN_OP[[#This Row],[OP/OS]],LANC_FAT[VALOR DA NF COM IMPOSTO])</f>
        <v>0</v>
      </c>
      <c r="W20" s="3"/>
      <c r="X20" s="10">
        <f>SUMIF(LANC_COMPRA[OP/OS],LAN_OP[[#This Row],[OP/OS]],LANC_COMPRA[[VALOR ]])</f>
        <v>0</v>
      </c>
      <c r="Y20" s="10">
        <f>SUMIF(LANC_HORAS[OP/OS],LAN_OP[[#This Row],[OP/OS]],LANC_HORAS[TOTAL GERAL NORMAL])</f>
        <v>0</v>
      </c>
      <c r="Z20" s="10">
        <f>SUMIF(LANC_HORAS[OP/OS],LAN_OP[[#This Row],[OP/OS]],LANC_HORAS[TOTAL GERAL EXTRAS])</f>
        <v>0</v>
      </c>
      <c r="AA20" s="12">
        <f>SUMIF(LANC_HORAS[OP/OS],LAN_OP[[#This Row],[OP/OS]],LANC_HORAS[TOTAL H.N])</f>
        <v>0</v>
      </c>
      <c r="AB20" s="12">
        <f>SUMIF(LANC_HORAS[OP/OS],LAN_OP[[#This Row],[OP/OS]],LANC_HORAS[TOTAL H.E])</f>
        <v>0</v>
      </c>
      <c r="AC20" s="10">
        <f>SUMIF(LANC_DESPESAS[OS/OP],LAN_OP[[#This Row],[OP/OS]],LANC_DESPESAS[OBSERVAÇÕES])</f>
        <v>0</v>
      </c>
      <c r="AD20" s="3">
        <f>SUMIF(LANC_DESLOC[OS/OP],LAN_OP[[#This Row],[OP/OS]],LANC_DESLOC[ANO])</f>
        <v>0</v>
      </c>
      <c r="AE2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0" s="3">
        <f>LAN_OP[[#This Row],[TOTAL PARCIAL (M.O+MT+DESP)]]*1.08</f>
        <v>0</v>
      </c>
      <c r="AG20" s="3">
        <f>LAN_OP[[#This Row],[TOTAL PARCIAL + OUTROS CUSTOS (8%)]]*1.09</f>
        <v>0</v>
      </c>
      <c r="AH20" t="str">
        <f>IF(AND(U20&gt;=CALENDARIO!$B$2,U20&lt;=CALENDARIO!$C$2),"JANEIRO",IF(AND(U20&gt;=CALENDARIO!$B$3,U20&lt;=CALENDARIO!$C$3),"FEVEREIRO",IF(AND(U20&gt;=CALENDARIO!$B$4,U20&lt;=CALENDARIO!$C$4),"MARÇO",IF(AND(U20&gt;=CALENDARIO!$B$5,U20&lt;=CALENDARIO!$C$5),"ABRIL",IF(AND(U20&gt;=CALENDARIO!$B$6,U20&lt;=CALENDARIO!$C$6),"MAIO",IF(AND(U20&gt;=CALENDARIO!$B$7,U20&lt;=CALENDARIO!$C$7),"JUNHO",IF(AND(U20&gt;=CALENDARIO!$B$8,U20&lt;=CALENDARIO!$C$8),"JULHO",IF(AND(U20&gt;=CALENDARIO!$B$9,U20&lt;=CALENDARIO!$C$9),"AGOSTO",IF(AND(U20&gt;=CALENDARIO!$B$10,U20&lt;=CALENDARIO!$C$10),"SETEMBRO",IF(AND(U20&gt;=CALENDARIO!$B$11,U20&lt;=CALENDARIO!$C$11),"OUTUBRO",IF(AND(U20&gt;=CALENDARIO!$B$12,U20&lt;=CALENDARIO!$C$12),"NOVEMBRO",IF(AND(U20&gt;=CALENDARIO!$B$13,U20&lt;=CALENDARIO!$C$13),"DEZEMBRO","-"))))))))))))</f>
        <v>-</v>
      </c>
      <c r="AI20" s="3">
        <f>LAN_OP[[#This Row],[VALOR CONTRATO]]-LAN_OP[[#This Row],[TOTAL CUSTO (O.C + DI + MT + MO+DESP)]]</f>
        <v>0</v>
      </c>
      <c r="AJ20" s="11" t="str">
        <f>IFERROR(LAN_OP[[#This Row],[R$ (CONTRATO - CUSTOS)]]/LAN_OP[[#This Row],[VALOR CONTRATO]],"")</f>
        <v/>
      </c>
      <c r="AK20" s="3">
        <f>LAN_OP[[#This Row],[VALOR CONTRATO]]-LAN_OP[[#This Row],[VALOR FATURADO]]</f>
        <v>0</v>
      </c>
      <c r="AL20" s="3" t="str">
        <f>IF(AND(C20&gt;=CALENDARIO!$B$2,C20&lt;=CALENDARIO!$C$2),"JANEIRO",IF(AND(C20&gt;=CALENDARIO!$B$3,C20&lt;=CALENDARIO!$C$3),"FEVEREIRO",IF(AND(C20&gt;=CALENDARIO!$B$4,C20&lt;=CALENDARIO!$C$4),"MARÇO",IF(AND(C20&gt;=CALENDARIO!$B$5,C20&lt;=CALENDARIO!$C$5),"ABRIL",IF(AND(C20&gt;=CALENDARIO!$B$6,C20&lt;=CALENDARIO!$C$6),"MAIO",IF(AND(C20&gt;=CALENDARIO!$B$7,C20&lt;=CALENDARIO!$C$7),"JUNHO",IF(AND(C20&gt;=CALENDARIO!$B$8,C20&lt;=CALENDARIO!$C$8),"JULHO",IF(AND(C20&gt;=CALENDARIO!$B$9,C20&lt;=CALENDARIO!$C$9),"AGOSTO",IF(AND(C20&gt;=CALENDARIO!$B$10,C20&lt;=CALENDARIO!$C$10),"SETEMBRO",IF(AND(C20&gt;=CALENDARIO!$B$11,C20&lt;=CALENDARIO!$C$11),"OUTUBRO",IF(AND(C20&gt;=CALENDARIO!$B$12,C20&lt;=CALENDARIO!$C$12),"NOVEMBRO",IF(AND(C20&gt;=CALENDARIO!$B$13,C20&lt;=CALENDARIO!$C$13),"DEZEMBRO","-"))))))))))))</f>
        <v>-</v>
      </c>
      <c r="AM20" s="3" t="str">
        <f>RIGHT(LAN_OP[[#This Row],[OP/OS]],4)</f>
        <v/>
      </c>
    </row>
    <row r="21" spans="2:39" x14ac:dyDescent="0.3">
      <c r="B21" s="80"/>
      <c r="C21" s="140"/>
      <c r="G21"/>
      <c r="H21"/>
      <c r="I21" s="3"/>
      <c r="J21" s="3"/>
      <c r="K21" s="11" t="e">
        <f>LAN_OP[[#This Row],[VALOR FATURADO]]/LAN_OP[[#This Row],[VALOR CONTRATO]]</f>
        <v>#DIV/0!</v>
      </c>
      <c r="L21" s="4">
        <f>LAN_OP[[#This Row],[VALOR CONTRATO]]-LAN_OP[[#This Row],[VALOR FATURADO]]</f>
        <v>0</v>
      </c>
      <c r="M21" s="11" t="e">
        <v>#DIV/0!</v>
      </c>
      <c r="P21" s="11"/>
      <c r="Q21" s="141"/>
      <c r="R21" s="3"/>
      <c r="S21" s="4"/>
      <c r="T21" s="8" t="str">
        <f>IFERROR(VLOOKUP(LAN_OP[[#This Row],[OP/OS]],LANC_FAT!A:M,2,0),"-")</f>
        <v>-</v>
      </c>
      <c r="U21" s="9" t="str">
        <f>IFERROR(VLOOKUP(LAN_OP[[#This Row],[OP/OS]],LANC_FAT!A:M,8,0),"-")</f>
        <v>-</v>
      </c>
      <c r="V21" s="10">
        <f>SUMIF(LANC_FAT[OP/OS],LAN_OP[[#This Row],[OP/OS]],LANC_FAT[VALOR DA NF COM IMPOSTO])</f>
        <v>0</v>
      </c>
      <c r="W21" s="3"/>
      <c r="X21" s="10">
        <f>SUMIF(LANC_COMPRA[OP/OS],LAN_OP[[#This Row],[OP/OS]],LANC_COMPRA[[VALOR ]])</f>
        <v>0</v>
      </c>
      <c r="Y21" s="10">
        <f>SUMIF(LANC_HORAS[OP/OS],LAN_OP[[#This Row],[OP/OS]],LANC_HORAS[TOTAL GERAL NORMAL])</f>
        <v>0</v>
      </c>
      <c r="Z21" s="10">
        <f>SUMIF(LANC_HORAS[OP/OS],LAN_OP[[#This Row],[OP/OS]],LANC_HORAS[TOTAL GERAL EXTRAS])</f>
        <v>0</v>
      </c>
      <c r="AA21" s="12">
        <f>SUMIF(LANC_HORAS[OP/OS],LAN_OP[[#This Row],[OP/OS]],LANC_HORAS[TOTAL H.N])</f>
        <v>0</v>
      </c>
      <c r="AB21" s="12">
        <f>SUMIF(LANC_HORAS[OP/OS],LAN_OP[[#This Row],[OP/OS]],LANC_HORAS[TOTAL H.E])</f>
        <v>0</v>
      </c>
      <c r="AC21" s="10">
        <f>SUMIF(LANC_DESPESAS[OS/OP],LAN_OP[[#This Row],[OP/OS]],LANC_DESPESAS[OBSERVAÇÕES])</f>
        <v>0</v>
      </c>
      <c r="AD21" s="3">
        <f>SUMIF(LANC_DESLOC[OS/OP],LAN_OP[[#This Row],[OP/OS]],LANC_DESLOC[ANO])</f>
        <v>0</v>
      </c>
      <c r="AE2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1" s="3">
        <f>LAN_OP[[#This Row],[TOTAL PARCIAL (M.O+MT+DESP)]]*1.08</f>
        <v>0</v>
      </c>
      <c r="AG21" s="3">
        <f>LAN_OP[[#This Row],[TOTAL PARCIAL + OUTROS CUSTOS (8%)]]*1.09</f>
        <v>0</v>
      </c>
      <c r="AH21" t="str">
        <f>IF(AND(U21&gt;=CALENDARIO!$B$2,U21&lt;=CALENDARIO!$C$2),"JANEIRO",IF(AND(U21&gt;=CALENDARIO!$B$3,U21&lt;=CALENDARIO!$C$3),"FEVEREIRO",IF(AND(U21&gt;=CALENDARIO!$B$4,U21&lt;=CALENDARIO!$C$4),"MARÇO",IF(AND(U21&gt;=CALENDARIO!$B$5,U21&lt;=CALENDARIO!$C$5),"ABRIL",IF(AND(U21&gt;=CALENDARIO!$B$6,U21&lt;=CALENDARIO!$C$6),"MAIO",IF(AND(U21&gt;=CALENDARIO!$B$7,U21&lt;=CALENDARIO!$C$7),"JUNHO",IF(AND(U21&gt;=CALENDARIO!$B$8,U21&lt;=CALENDARIO!$C$8),"JULHO",IF(AND(U21&gt;=CALENDARIO!$B$9,U21&lt;=CALENDARIO!$C$9),"AGOSTO",IF(AND(U21&gt;=CALENDARIO!$B$10,U21&lt;=CALENDARIO!$C$10),"SETEMBRO",IF(AND(U21&gt;=CALENDARIO!$B$11,U21&lt;=CALENDARIO!$C$11),"OUTUBRO",IF(AND(U21&gt;=CALENDARIO!$B$12,U21&lt;=CALENDARIO!$C$12),"NOVEMBRO",IF(AND(U21&gt;=CALENDARIO!$B$13,U21&lt;=CALENDARIO!$C$13),"DEZEMBRO","-"))))))))))))</f>
        <v>-</v>
      </c>
      <c r="AI21" s="3">
        <f>LAN_OP[[#This Row],[VALOR CONTRATO]]-LAN_OP[[#This Row],[TOTAL CUSTO (O.C + DI + MT + MO+DESP)]]</f>
        <v>0</v>
      </c>
      <c r="AJ21" s="11" t="str">
        <f>IFERROR(LAN_OP[[#This Row],[R$ (CONTRATO - CUSTOS)]]/LAN_OP[[#This Row],[VALOR CONTRATO]],"")</f>
        <v/>
      </c>
      <c r="AK21" s="3">
        <f>LAN_OP[[#This Row],[VALOR CONTRATO]]-LAN_OP[[#This Row],[VALOR FATURADO]]</f>
        <v>0</v>
      </c>
      <c r="AL21" s="3" t="str">
        <f>IF(AND(C21&gt;=CALENDARIO!$B$2,C21&lt;=CALENDARIO!$C$2),"JANEIRO",IF(AND(C21&gt;=CALENDARIO!$B$3,C21&lt;=CALENDARIO!$C$3),"FEVEREIRO",IF(AND(C21&gt;=CALENDARIO!$B$4,C21&lt;=CALENDARIO!$C$4),"MARÇO",IF(AND(C21&gt;=CALENDARIO!$B$5,C21&lt;=CALENDARIO!$C$5),"ABRIL",IF(AND(C21&gt;=CALENDARIO!$B$6,C21&lt;=CALENDARIO!$C$6),"MAIO",IF(AND(C21&gt;=CALENDARIO!$B$7,C21&lt;=CALENDARIO!$C$7),"JUNHO",IF(AND(C21&gt;=CALENDARIO!$B$8,C21&lt;=CALENDARIO!$C$8),"JULHO",IF(AND(C21&gt;=CALENDARIO!$B$9,C21&lt;=CALENDARIO!$C$9),"AGOSTO",IF(AND(C21&gt;=CALENDARIO!$B$10,C21&lt;=CALENDARIO!$C$10),"SETEMBRO",IF(AND(C21&gt;=CALENDARIO!$B$11,C21&lt;=CALENDARIO!$C$11),"OUTUBRO",IF(AND(C21&gt;=CALENDARIO!$B$12,C21&lt;=CALENDARIO!$C$12),"NOVEMBRO",IF(AND(C21&gt;=CALENDARIO!$B$13,C21&lt;=CALENDARIO!$C$13),"DEZEMBRO","-"))))))))))))</f>
        <v>-</v>
      </c>
      <c r="AM21" s="3" t="str">
        <f>RIGHT(LAN_OP[[#This Row],[OP/OS]],4)</f>
        <v/>
      </c>
    </row>
    <row r="22" spans="2:39" x14ac:dyDescent="0.3">
      <c r="B22" s="80"/>
      <c r="C22" s="140"/>
      <c r="G22"/>
      <c r="H22"/>
      <c r="I22" s="3"/>
      <c r="J22" s="3"/>
      <c r="K22" s="11" t="e">
        <f>LAN_OP[[#This Row],[VALOR FATURADO]]/LAN_OP[[#This Row],[VALOR CONTRATO]]</f>
        <v>#DIV/0!</v>
      </c>
      <c r="L22" s="4">
        <f>LAN_OP[[#This Row],[VALOR CONTRATO]]-LAN_OP[[#This Row],[VALOR FATURADO]]</f>
        <v>0</v>
      </c>
      <c r="M22" s="11" t="e">
        <v>#DIV/0!</v>
      </c>
      <c r="P22" s="11"/>
      <c r="Q22" s="141"/>
      <c r="R22" s="3"/>
      <c r="S22" s="4"/>
      <c r="T22" s="8" t="str">
        <f>IFERROR(VLOOKUP(LAN_OP[[#This Row],[OP/OS]],LANC_FAT!A:M,2,0),"-")</f>
        <v>-</v>
      </c>
      <c r="U22" s="9" t="str">
        <f>IFERROR(VLOOKUP(LAN_OP[[#This Row],[OP/OS]],LANC_FAT!A:M,8,0),"-")</f>
        <v>-</v>
      </c>
      <c r="V22" s="10">
        <f>SUMIF(LANC_FAT[OP/OS],LAN_OP[[#This Row],[OP/OS]],LANC_FAT[VALOR DA NF COM IMPOSTO])</f>
        <v>0</v>
      </c>
      <c r="W22" s="3"/>
      <c r="X22" s="10">
        <f>SUMIF(LANC_COMPRA[OP/OS],LAN_OP[[#This Row],[OP/OS]],LANC_COMPRA[[VALOR ]])</f>
        <v>0</v>
      </c>
      <c r="Y22" s="10">
        <f>SUMIF(LANC_HORAS[OP/OS],LAN_OP[[#This Row],[OP/OS]],LANC_HORAS[TOTAL GERAL NORMAL])</f>
        <v>0</v>
      </c>
      <c r="Z22" s="10">
        <f>SUMIF(LANC_HORAS[OP/OS],LAN_OP[[#This Row],[OP/OS]],LANC_HORAS[TOTAL GERAL EXTRAS])</f>
        <v>0</v>
      </c>
      <c r="AA22" s="12">
        <f>SUMIF(LANC_HORAS[OP/OS],LAN_OP[[#This Row],[OP/OS]],LANC_HORAS[TOTAL H.N])</f>
        <v>0</v>
      </c>
      <c r="AB22" s="12">
        <f>SUMIF(LANC_HORAS[OP/OS],LAN_OP[[#This Row],[OP/OS]],LANC_HORAS[TOTAL H.E])</f>
        <v>0</v>
      </c>
      <c r="AC22" s="10">
        <f>SUMIF(LANC_DESPESAS[OS/OP],LAN_OP[[#This Row],[OP/OS]],LANC_DESPESAS[OBSERVAÇÕES])</f>
        <v>0</v>
      </c>
      <c r="AD22" s="3">
        <f>SUMIF(LANC_DESLOC[OS/OP],LAN_OP[[#This Row],[OP/OS]],LANC_DESLOC[ANO])</f>
        <v>0</v>
      </c>
      <c r="AE2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2" s="3">
        <f>LAN_OP[[#This Row],[TOTAL PARCIAL (M.O+MT+DESP)]]*1.08</f>
        <v>0</v>
      </c>
      <c r="AG22" s="3">
        <f>LAN_OP[[#This Row],[TOTAL PARCIAL + OUTROS CUSTOS (8%)]]*1.09</f>
        <v>0</v>
      </c>
      <c r="AH22" t="str">
        <f>IF(AND(U22&gt;=CALENDARIO!$B$2,U22&lt;=CALENDARIO!$C$2),"JANEIRO",IF(AND(U22&gt;=CALENDARIO!$B$3,U22&lt;=CALENDARIO!$C$3),"FEVEREIRO",IF(AND(U22&gt;=CALENDARIO!$B$4,U22&lt;=CALENDARIO!$C$4),"MARÇO",IF(AND(U22&gt;=CALENDARIO!$B$5,U22&lt;=CALENDARIO!$C$5),"ABRIL",IF(AND(U22&gt;=CALENDARIO!$B$6,U22&lt;=CALENDARIO!$C$6),"MAIO",IF(AND(U22&gt;=CALENDARIO!$B$7,U22&lt;=CALENDARIO!$C$7),"JUNHO",IF(AND(U22&gt;=CALENDARIO!$B$8,U22&lt;=CALENDARIO!$C$8),"JULHO",IF(AND(U22&gt;=CALENDARIO!$B$9,U22&lt;=CALENDARIO!$C$9),"AGOSTO",IF(AND(U22&gt;=CALENDARIO!$B$10,U22&lt;=CALENDARIO!$C$10),"SETEMBRO",IF(AND(U22&gt;=CALENDARIO!$B$11,U22&lt;=CALENDARIO!$C$11),"OUTUBRO",IF(AND(U22&gt;=CALENDARIO!$B$12,U22&lt;=CALENDARIO!$C$12),"NOVEMBRO",IF(AND(U22&gt;=CALENDARIO!$B$13,U22&lt;=CALENDARIO!$C$13),"DEZEMBRO","-"))))))))))))</f>
        <v>-</v>
      </c>
      <c r="AI22" s="3">
        <f>LAN_OP[[#This Row],[VALOR CONTRATO]]-LAN_OP[[#This Row],[TOTAL CUSTO (O.C + DI + MT + MO+DESP)]]</f>
        <v>0</v>
      </c>
      <c r="AJ22" s="11" t="str">
        <f>IFERROR(LAN_OP[[#This Row],[R$ (CONTRATO - CUSTOS)]]/LAN_OP[[#This Row],[VALOR CONTRATO]],"")</f>
        <v/>
      </c>
      <c r="AK22" s="3">
        <f>LAN_OP[[#This Row],[VALOR CONTRATO]]-LAN_OP[[#This Row],[VALOR FATURADO]]</f>
        <v>0</v>
      </c>
      <c r="AL22" s="3" t="str">
        <f>IF(AND(C22&gt;=CALENDARIO!$B$2,C22&lt;=CALENDARIO!$C$2),"JANEIRO",IF(AND(C22&gt;=CALENDARIO!$B$3,C22&lt;=CALENDARIO!$C$3),"FEVEREIRO",IF(AND(C22&gt;=CALENDARIO!$B$4,C22&lt;=CALENDARIO!$C$4),"MARÇO",IF(AND(C22&gt;=CALENDARIO!$B$5,C22&lt;=CALENDARIO!$C$5),"ABRIL",IF(AND(C22&gt;=CALENDARIO!$B$6,C22&lt;=CALENDARIO!$C$6),"MAIO",IF(AND(C22&gt;=CALENDARIO!$B$7,C22&lt;=CALENDARIO!$C$7),"JUNHO",IF(AND(C22&gt;=CALENDARIO!$B$8,C22&lt;=CALENDARIO!$C$8),"JULHO",IF(AND(C22&gt;=CALENDARIO!$B$9,C22&lt;=CALENDARIO!$C$9),"AGOSTO",IF(AND(C22&gt;=CALENDARIO!$B$10,C22&lt;=CALENDARIO!$C$10),"SETEMBRO",IF(AND(C22&gt;=CALENDARIO!$B$11,C22&lt;=CALENDARIO!$C$11),"OUTUBRO",IF(AND(C22&gt;=CALENDARIO!$B$12,C22&lt;=CALENDARIO!$C$12),"NOVEMBRO",IF(AND(C22&gt;=CALENDARIO!$B$13,C22&lt;=CALENDARIO!$C$13),"DEZEMBRO","-"))))))))))))</f>
        <v>-</v>
      </c>
      <c r="AM22" s="3" t="str">
        <f>RIGHT(LAN_OP[[#This Row],[OP/OS]],4)</f>
        <v/>
      </c>
    </row>
    <row r="23" spans="2:39" x14ac:dyDescent="0.3">
      <c r="B23" s="80"/>
      <c r="C23" s="140"/>
      <c r="G23"/>
      <c r="H23"/>
      <c r="I23" s="3"/>
      <c r="J23" s="3"/>
      <c r="K23" s="11" t="e">
        <f>LAN_OP[[#This Row],[VALOR FATURADO]]/LAN_OP[[#This Row],[VALOR CONTRATO]]</f>
        <v>#DIV/0!</v>
      </c>
      <c r="L23" s="4">
        <f>LAN_OP[[#This Row],[VALOR CONTRATO]]-LAN_OP[[#This Row],[VALOR FATURADO]]</f>
        <v>0</v>
      </c>
      <c r="M23" s="11" t="e">
        <v>#DIV/0!</v>
      </c>
      <c r="P23" s="11"/>
      <c r="Q23" s="141"/>
      <c r="R23" s="3"/>
      <c r="S23" s="4"/>
      <c r="T23" s="8" t="str">
        <f>IFERROR(VLOOKUP(LAN_OP[[#This Row],[OP/OS]],LANC_FAT!A:M,2,0),"-")</f>
        <v>-</v>
      </c>
      <c r="U23" s="9" t="str">
        <f>IFERROR(VLOOKUP(LAN_OP[[#This Row],[OP/OS]],LANC_FAT!A:M,8,0),"-")</f>
        <v>-</v>
      </c>
      <c r="V23" s="10">
        <f>SUMIF(LANC_FAT[OP/OS],LAN_OP[[#This Row],[OP/OS]],LANC_FAT[VALOR DA NF COM IMPOSTO])</f>
        <v>0</v>
      </c>
      <c r="W23" s="3"/>
      <c r="X23" s="10">
        <f>SUMIF(LANC_COMPRA[OP/OS],LAN_OP[[#This Row],[OP/OS]],LANC_COMPRA[[VALOR ]])</f>
        <v>0</v>
      </c>
      <c r="Y23" s="10">
        <f>SUMIF(LANC_HORAS[OP/OS],LAN_OP[[#This Row],[OP/OS]],LANC_HORAS[TOTAL GERAL NORMAL])</f>
        <v>0</v>
      </c>
      <c r="Z23" s="10">
        <f>SUMIF(LANC_HORAS[OP/OS],LAN_OP[[#This Row],[OP/OS]],LANC_HORAS[TOTAL GERAL EXTRAS])</f>
        <v>0</v>
      </c>
      <c r="AA23" s="12">
        <f>SUMIF(LANC_HORAS[OP/OS],LAN_OP[[#This Row],[OP/OS]],LANC_HORAS[TOTAL H.N])</f>
        <v>0</v>
      </c>
      <c r="AB23" s="12">
        <f>SUMIF(LANC_HORAS[OP/OS],LAN_OP[[#This Row],[OP/OS]],LANC_HORAS[TOTAL H.E])</f>
        <v>0</v>
      </c>
      <c r="AC23" s="10">
        <f>SUMIF(LANC_DESPESAS[OS/OP],LAN_OP[[#This Row],[OP/OS]],LANC_DESPESAS[OBSERVAÇÕES])</f>
        <v>0</v>
      </c>
      <c r="AD23" s="3">
        <f>SUMIF(LANC_DESLOC[OS/OP],LAN_OP[[#This Row],[OP/OS]],LANC_DESLOC[ANO])</f>
        <v>0</v>
      </c>
      <c r="AE2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3" s="3">
        <f>LAN_OP[[#This Row],[TOTAL PARCIAL (M.O+MT+DESP)]]*1.08</f>
        <v>0</v>
      </c>
      <c r="AG23" s="3">
        <f>LAN_OP[[#This Row],[TOTAL PARCIAL + OUTROS CUSTOS (8%)]]*1.09</f>
        <v>0</v>
      </c>
      <c r="AH23" t="str">
        <f>IF(AND(U23&gt;=CALENDARIO!$B$2,U23&lt;=CALENDARIO!$C$2),"JANEIRO",IF(AND(U23&gt;=CALENDARIO!$B$3,U23&lt;=CALENDARIO!$C$3),"FEVEREIRO",IF(AND(U23&gt;=CALENDARIO!$B$4,U23&lt;=CALENDARIO!$C$4),"MARÇO",IF(AND(U23&gt;=CALENDARIO!$B$5,U23&lt;=CALENDARIO!$C$5),"ABRIL",IF(AND(U23&gt;=CALENDARIO!$B$6,U23&lt;=CALENDARIO!$C$6),"MAIO",IF(AND(U23&gt;=CALENDARIO!$B$7,U23&lt;=CALENDARIO!$C$7),"JUNHO",IF(AND(U23&gt;=CALENDARIO!$B$8,U23&lt;=CALENDARIO!$C$8),"JULHO",IF(AND(U23&gt;=CALENDARIO!$B$9,U23&lt;=CALENDARIO!$C$9),"AGOSTO",IF(AND(U23&gt;=CALENDARIO!$B$10,U23&lt;=CALENDARIO!$C$10),"SETEMBRO",IF(AND(U23&gt;=CALENDARIO!$B$11,U23&lt;=CALENDARIO!$C$11),"OUTUBRO",IF(AND(U23&gt;=CALENDARIO!$B$12,U23&lt;=CALENDARIO!$C$12),"NOVEMBRO",IF(AND(U23&gt;=CALENDARIO!$B$13,U23&lt;=CALENDARIO!$C$13),"DEZEMBRO","-"))))))))))))</f>
        <v>-</v>
      </c>
      <c r="AI23" s="3">
        <f>LAN_OP[[#This Row],[VALOR CONTRATO]]-LAN_OP[[#This Row],[TOTAL CUSTO (O.C + DI + MT + MO+DESP)]]</f>
        <v>0</v>
      </c>
      <c r="AJ23" s="11" t="str">
        <f>IFERROR(LAN_OP[[#This Row],[R$ (CONTRATO - CUSTOS)]]/LAN_OP[[#This Row],[VALOR CONTRATO]],"")</f>
        <v/>
      </c>
      <c r="AK23" s="3">
        <f>LAN_OP[[#This Row],[VALOR CONTRATO]]-LAN_OP[[#This Row],[VALOR FATURADO]]</f>
        <v>0</v>
      </c>
      <c r="AL23" s="3" t="str">
        <f>IF(AND(C23&gt;=CALENDARIO!$B$2,C23&lt;=CALENDARIO!$C$2),"JANEIRO",IF(AND(C23&gt;=CALENDARIO!$B$3,C23&lt;=CALENDARIO!$C$3),"FEVEREIRO",IF(AND(C23&gt;=CALENDARIO!$B$4,C23&lt;=CALENDARIO!$C$4),"MARÇO",IF(AND(C23&gt;=CALENDARIO!$B$5,C23&lt;=CALENDARIO!$C$5),"ABRIL",IF(AND(C23&gt;=CALENDARIO!$B$6,C23&lt;=CALENDARIO!$C$6),"MAIO",IF(AND(C23&gt;=CALENDARIO!$B$7,C23&lt;=CALENDARIO!$C$7),"JUNHO",IF(AND(C23&gt;=CALENDARIO!$B$8,C23&lt;=CALENDARIO!$C$8),"JULHO",IF(AND(C23&gt;=CALENDARIO!$B$9,C23&lt;=CALENDARIO!$C$9),"AGOSTO",IF(AND(C23&gt;=CALENDARIO!$B$10,C23&lt;=CALENDARIO!$C$10),"SETEMBRO",IF(AND(C23&gt;=CALENDARIO!$B$11,C23&lt;=CALENDARIO!$C$11),"OUTUBRO",IF(AND(C23&gt;=CALENDARIO!$B$12,C23&lt;=CALENDARIO!$C$12),"NOVEMBRO",IF(AND(C23&gt;=CALENDARIO!$B$13,C23&lt;=CALENDARIO!$C$13),"DEZEMBRO","-"))))))))))))</f>
        <v>-</v>
      </c>
      <c r="AM23" s="3" t="str">
        <f>RIGHT(LAN_OP[[#This Row],[OP/OS]],4)</f>
        <v/>
      </c>
    </row>
    <row r="24" spans="2:39" x14ac:dyDescent="0.3">
      <c r="B24" s="80"/>
      <c r="C24" s="140"/>
      <c r="G24"/>
      <c r="H24"/>
      <c r="I24" s="3"/>
      <c r="J24" s="3"/>
      <c r="K24" s="11" t="e">
        <f>LAN_OP[[#This Row],[VALOR FATURADO]]/LAN_OP[[#This Row],[VALOR CONTRATO]]</f>
        <v>#DIV/0!</v>
      </c>
      <c r="L24" s="4">
        <f>LAN_OP[[#This Row],[VALOR CONTRATO]]-LAN_OP[[#This Row],[VALOR FATURADO]]</f>
        <v>0</v>
      </c>
      <c r="M24" s="11" t="e">
        <v>#DIV/0!</v>
      </c>
      <c r="P24" s="11"/>
      <c r="Q24" s="141"/>
      <c r="R24" s="3"/>
      <c r="S24" s="4"/>
      <c r="T24" s="8" t="str">
        <f>IFERROR(VLOOKUP(LAN_OP[[#This Row],[OP/OS]],LANC_FAT!A:M,2,0),"-")</f>
        <v>-</v>
      </c>
      <c r="U24" s="9" t="str">
        <f>IFERROR(VLOOKUP(LAN_OP[[#This Row],[OP/OS]],LANC_FAT!A:M,8,0),"-")</f>
        <v>-</v>
      </c>
      <c r="V24" s="10">
        <f>SUMIF(LANC_FAT[OP/OS],LAN_OP[[#This Row],[OP/OS]],LANC_FAT[VALOR DA NF COM IMPOSTO])</f>
        <v>0</v>
      </c>
      <c r="W24" s="3"/>
      <c r="X24" s="10">
        <f>SUMIF(LANC_COMPRA[OP/OS],LAN_OP[[#This Row],[OP/OS]],LANC_COMPRA[[VALOR ]])</f>
        <v>0</v>
      </c>
      <c r="Y24" s="10">
        <f>SUMIF(LANC_HORAS[OP/OS],LAN_OP[[#This Row],[OP/OS]],LANC_HORAS[TOTAL GERAL NORMAL])</f>
        <v>0</v>
      </c>
      <c r="Z24" s="10">
        <f>SUMIF(LANC_HORAS[OP/OS],LAN_OP[[#This Row],[OP/OS]],LANC_HORAS[TOTAL GERAL EXTRAS])</f>
        <v>0</v>
      </c>
      <c r="AA24" s="12">
        <f>SUMIF(LANC_HORAS[OP/OS],LAN_OP[[#This Row],[OP/OS]],LANC_HORAS[TOTAL H.N])</f>
        <v>0</v>
      </c>
      <c r="AB24" s="12">
        <f>SUMIF(LANC_HORAS[OP/OS],LAN_OP[[#This Row],[OP/OS]],LANC_HORAS[TOTAL H.E])</f>
        <v>0</v>
      </c>
      <c r="AC24" s="10">
        <f>SUMIF(LANC_DESPESAS[OS/OP],LAN_OP[[#This Row],[OP/OS]],LANC_DESPESAS[OBSERVAÇÕES])</f>
        <v>0</v>
      </c>
      <c r="AD24" s="3">
        <f>SUMIF(LANC_DESLOC[OS/OP],LAN_OP[[#This Row],[OP/OS]],LANC_DESLOC[ANO])</f>
        <v>0</v>
      </c>
      <c r="AE2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4" s="3">
        <f>LAN_OP[[#This Row],[TOTAL PARCIAL (M.O+MT+DESP)]]*1.08</f>
        <v>0</v>
      </c>
      <c r="AG24" s="3">
        <f>LAN_OP[[#This Row],[TOTAL PARCIAL + OUTROS CUSTOS (8%)]]*1.09</f>
        <v>0</v>
      </c>
      <c r="AH24" t="str">
        <f>IF(AND(U24&gt;=CALENDARIO!$B$2,U24&lt;=CALENDARIO!$C$2),"JANEIRO",IF(AND(U24&gt;=CALENDARIO!$B$3,U24&lt;=CALENDARIO!$C$3),"FEVEREIRO",IF(AND(U24&gt;=CALENDARIO!$B$4,U24&lt;=CALENDARIO!$C$4),"MARÇO",IF(AND(U24&gt;=CALENDARIO!$B$5,U24&lt;=CALENDARIO!$C$5),"ABRIL",IF(AND(U24&gt;=CALENDARIO!$B$6,U24&lt;=CALENDARIO!$C$6),"MAIO",IF(AND(U24&gt;=CALENDARIO!$B$7,U24&lt;=CALENDARIO!$C$7),"JUNHO",IF(AND(U24&gt;=CALENDARIO!$B$8,U24&lt;=CALENDARIO!$C$8),"JULHO",IF(AND(U24&gt;=CALENDARIO!$B$9,U24&lt;=CALENDARIO!$C$9),"AGOSTO",IF(AND(U24&gt;=CALENDARIO!$B$10,U24&lt;=CALENDARIO!$C$10),"SETEMBRO",IF(AND(U24&gt;=CALENDARIO!$B$11,U24&lt;=CALENDARIO!$C$11),"OUTUBRO",IF(AND(U24&gt;=CALENDARIO!$B$12,U24&lt;=CALENDARIO!$C$12),"NOVEMBRO",IF(AND(U24&gt;=CALENDARIO!$B$13,U24&lt;=CALENDARIO!$C$13),"DEZEMBRO","-"))))))))))))</f>
        <v>-</v>
      </c>
      <c r="AI24" s="3">
        <f>LAN_OP[[#This Row],[VALOR CONTRATO]]-LAN_OP[[#This Row],[TOTAL CUSTO (O.C + DI + MT + MO+DESP)]]</f>
        <v>0</v>
      </c>
      <c r="AJ24" s="11" t="str">
        <f>IFERROR(LAN_OP[[#This Row],[R$ (CONTRATO - CUSTOS)]]/LAN_OP[[#This Row],[VALOR CONTRATO]],"")</f>
        <v/>
      </c>
      <c r="AK24" s="3">
        <f>LAN_OP[[#This Row],[VALOR CONTRATO]]-LAN_OP[[#This Row],[VALOR FATURADO]]</f>
        <v>0</v>
      </c>
      <c r="AL24" s="3" t="str">
        <f>IF(AND(C24&gt;=CALENDARIO!$B$2,C24&lt;=CALENDARIO!$C$2),"JANEIRO",IF(AND(C24&gt;=CALENDARIO!$B$3,C24&lt;=CALENDARIO!$C$3),"FEVEREIRO",IF(AND(C24&gt;=CALENDARIO!$B$4,C24&lt;=CALENDARIO!$C$4),"MARÇO",IF(AND(C24&gt;=CALENDARIO!$B$5,C24&lt;=CALENDARIO!$C$5),"ABRIL",IF(AND(C24&gt;=CALENDARIO!$B$6,C24&lt;=CALENDARIO!$C$6),"MAIO",IF(AND(C24&gt;=CALENDARIO!$B$7,C24&lt;=CALENDARIO!$C$7),"JUNHO",IF(AND(C24&gt;=CALENDARIO!$B$8,C24&lt;=CALENDARIO!$C$8),"JULHO",IF(AND(C24&gt;=CALENDARIO!$B$9,C24&lt;=CALENDARIO!$C$9),"AGOSTO",IF(AND(C24&gt;=CALENDARIO!$B$10,C24&lt;=CALENDARIO!$C$10),"SETEMBRO",IF(AND(C24&gt;=CALENDARIO!$B$11,C24&lt;=CALENDARIO!$C$11),"OUTUBRO",IF(AND(C24&gt;=CALENDARIO!$B$12,C24&lt;=CALENDARIO!$C$12),"NOVEMBRO",IF(AND(C24&gt;=CALENDARIO!$B$13,C24&lt;=CALENDARIO!$C$13),"DEZEMBRO","-"))))))))))))</f>
        <v>-</v>
      </c>
      <c r="AM24" s="3" t="str">
        <f>RIGHT(LAN_OP[[#This Row],[OP/OS]],4)</f>
        <v/>
      </c>
    </row>
    <row r="25" spans="2:39" x14ac:dyDescent="0.3">
      <c r="B25" s="80"/>
      <c r="C25" s="140"/>
      <c r="G25"/>
      <c r="H25"/>
      <c r="I25" s="3"/>
      <c r="J25" s="3"/>
      <c r="K25" s="11" t="e">
        <f>LAN_OP[[#This Row],[VALOR FATURADO]]/LAN_OP[[#This Row],[VALOR CONTRATO]]</f>
        <v>#DIV/0!</v>
      </c>
      <c r="L25" s="4">
        <f>LAN_OP[[#This Row],[VALOR CONTRATO]]-LAN_OP[[#This Row],[VALOR FATURADO]]</f>
        <v>0</v>
      </c>
      <c r="M25" s="11" t="e">
        <v>#DIV/0!</v>
      </c>
      <c r="P25" s="11"/>
      <c r="Q25" s="141"/>
      <c r="R25" s="3"/>
      <c r="S25" s="4"/>
      <c r="T25" s="8" t="str">
        <f>IFERROR(VLOOKUP(LAN_OP[[#This Row],[OP/OS]],LANC_FAT!A:M,2,0),"-")</f>
        <v>-</v>
      </c>
      <c r="U25" s="9" t="str">
        <f>IFERROR(VLOOKUP(LAN_OP[[#This Row],[OP/OS]],LANC_FAT!A:M,8,0),"-")</f>
        <v>-</v>
      </c>
      <c r="V25" s="10">
        <f>SUMIF(LANC_FAT[OP/OS],LAN_OP[[#This Row],[OP/OS]],LANC_FAT[VALOR DA NF COM IMPOSTO])</f>
        <v>0</v>
      </c>
      <c r="W25" s="3"/>
      <c r="X25" s="10">
        <f>SUMIF(LANC_COMPRA[OP/OS],LAN_OP[[#This Row],[OP/OS]],LANC_COMPRA[[VALOR ]])</f>
        <v>0</v>
      </c>
      <c r="Y25" s="10">
        <f>SUMIF(LANC_HORAS[OP/OS],LAN_OP[[#This Row],[OP/OS]],LANC_HORAS[TOTAL GERAL NORMAL])</f>
        <v>0</v>
      </c>
      <c r="Z25" s="10">
        <f>SUMIF(LANC_HORAS[OP/OS],LAN_OP[[#This Row],[OP/OS]],LANC_HORAS[TOTAL GERAL EXTRAS])</f>
        <v>0</v>
      </c>
      <c r="AA25" s="12">
        <f>SUMIF(LANC_HORAS[OP/OS],LAN_OP[[#This Row],[OP/OS]],LANC_HORAS[TOTAL H.N])</f>
        <v>0</v>
      </c>
      <c r="AB25" s="12">
        <f>SUMIF(LANC_HORAS[OP/OS],LAN_OP[[#This Row],[OP/OS]],LANC_HORAS[TOTAL H.E])</f>
        <v>0</v>
      </c>
      <c r="AC25" s="10">
        <f>SUMIF(LANC_DESPESAS[OS/OP],LAN_OP[[#This Row],[OP/OS]],LANC_DESPESAS[OBSERVAÇÕES])</f>
        <v>0</v>
      </c>
      <c r="AD25" s="3">
        <f>SUMIF(LANC_DESLOC[OS/OP],LAN_OP[[#This Row],[OP/OS]],LANC_DESLOC[ANO])</f>
        <v>0</v>
      </c>
      <c r="AE2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5" s="3">
        <f>LAN_OP[[#This Row],[TOTAL PARCIAL (M.O+MT+DESP)]]*1.08</f>
        <v>0</v>
      </c>
      <c r="AG25" s="3">
        <f>LAN_OP[[#This Row],[TOTAL PARCIAL + OUTROS CUSTOS (8%)]]*1.09</f>
        <v>0</v>
      </c>
      <c r="AH25" t="str">
        <f>IF(AND(U25&gt;=CALENDARIO!$B$2,U25&lt;=CALENDARIO!$C$2),"JANEIRO",IF(AND(U25&gt;=CALENDARIO!$B$3,U25&lt;=CALENDARIO!$C$3),"FEVEREIRO",IF(AND(U25&gt;=CALENDARIO!$B$4,U25&lt;=CALENDARIO!$C$4),"MARÇO",IF(AND(U25&gt;=CALENDARIO!$B$5,U25&lt;=CALENDARIO!$C$5),"ABRIL",IF(AND(U25&gt;=CALENDARIO!$B$6,U25&lt;=CALENDARIO!$C$6),"MAIO",IF(AND(U25&gt;=CALENDARIO!$B$7,U25&lt;=CALENDARIO!$C$7),"JUNHO",IF(AND(U25&gt;=CALENDARIO!$B$8,U25&lt;=CALENDARIO!$C$8),"JULHO",IF(AND(U25&gt;=CALENDARIO!$B$9,U25&lt;=CALENDARIO!$C$9),"AGOSTO",IF(AND(U25&gt;=CALENDARIO!$B$10,U25&lt;=CALENDARIO!$C$10),"SETEMBRO",IF(AND(U25&gt;=CALENDARIO!$B$11,U25&lt;=CALENDARIO!$C$11),"OUTUBRO",IF(AND(U25&gt;=CALENDARIO!$B$12,U25&lt;=CALENDARIO!$C$12),"NOVEMBRO",IF(AND(U25&gt;=CALENDARIO!$B$13,U25&lt;=CALENDARIO!$C$13),"DEZEMBRO","-"))))))))))))</f>
        <v>-</v>
      </c>
      <c r="AI25" s="3">
        <f>LAN_OP[[#This Row],[VALOR CONTRATO]]-LAN_OP[[#This Row],[TOTAL CUSTO (O.C + DI + MT + MO+DESP)]]</f>
        <v>0</v>
      </c>
      <c r="AJ25" s="11" t="str">
        <f>IFERROR(LAN_OP[[#This Row],[R$ (CONTRATO - CUSTOS)]]/LAN_OP[[#This Row],[VALOR CONTRATO]],"")</f>
        <v/>
      </c>
      <c r="AK25" s="3">
        <f>LAN_OP[[#This Row],[VALOR CONTRATO]]-LAN_OP[[#This Row],[VALOR FATURADO]]</f>
        <v>0</v>
      </c>
      <c r="AL25" s="3" t="str">
        <f>IF(AND(C25&gt;=CALENDARIO!$B$2,C25&lt;=CALENDARIO!$C$2),"JANEIRO",IF(AND(C25&gt;=CALENDARIO!$B$3,C25&lt;=CALENDARIO!$C$3),"FEVEREIRO",IF(AND(C25&gt;=CALENDARIO!$B$4,C25&lt;=CALENDARIO!$C$4),"MARÇO",IF(AND(C25&gt;=CALENDARIO!$B$5,C25&lt;=CALENDARIO!$C$5),"ABRIL",IF(AND(C25&gt;=CALENDARIO!$B$6,C25&lt;=CALENDARIO!$C$6),"MAIO",IF(AND(C25&gt;=CALENDARIO!$B$7,C25&lt;=CALENDARIO!$C$7),"JUNHO",IF(AND(C25&gt;=CALENDARIO!$B$8,C25&lt;=CALENDARIO!$C$8),"JULHO",IF(AND(C25&gt;=CALENDARIO!$B$9,C25&lt;=CALENDARIO!$C$9),"AGOSTO",IF(AND(C25&gt;=CALENDARIO!$B$10,C25&lt;=CALENDARIO!$C$10),"SETEMBRO",IF(AND(C25&gt;=CALENDARIO!$B$11,C25&lt;=CALENDARIO!$C$11),"OUTUBRO",IF(AND(C25&gt;=CALENDARIO!$B$12,C25&lt;=CALENDARIO!$C$12),"NOVEMBRO",IF(AND(C25&gt;=CALENDARIO!$B$13,C25&lt;=CALENDARIO!$C$13),"DEZEMBRO","-"))))))))))))</f>
        <v>-</v>
      </c>
      <c r="AM25" s="3" t="str">
        <f>RIGHT(LAN_OP[[#This Row],[OP/OS]],4)</f>
        <v/>
      </c>
    </row>
    <row r="26" spans="2:39" x14ac:dyDescent="0.3">
      <c r="B26" s="80"/>
      <c r="C26" s="140"/>
      <c r="G26"/>
      <c r="H26"/>
      <c r="I26" s="3"/>
      <c r="J26" s="3"/>
      <c r="K26" s="11" t="e">
        <f>LAN_OP[[#This Row],[VALOR FATURADO]]/LAN_OP[[#This Row],[VALOR CONTRATO]]</f>
        <v>#DIV/0!</v>
      </c>
      <c r="L26" s="4">
        <f>LAN_OP[[#This Row],[VALOR CONTRATO]]-LAN_OP[[#This Row],[VALOR FATURADO]]</f>
        <v>0</v>
      </c>
      <c r="M26" s="11" t="e">
        <v>#DIV/0!</v>
      </c>
      <c r="P26" s="11"/>
      <c r="Q26" s="141"/>
      <c r="R26" s="3"/>
      <c r="S26" s="4"/>
      <c r="T26" s="8" t="str">
        <f>IFERROR(VLOOKUP(LAN_OP[[#This Row],[OP/OS]],LANC_FAT!A:M,2,0),"-")</f>
        <v>-</v>
      </c>
      <c r="U26" s="9" t="str">
        <f>IFERROR(VLOOKUP(LAN_OP[[#This Row],[OP/OS]],LANC_FAT!A:M,8,0),"-")</f>
        <v>-</v>
      </c>
      <c r="V26" s="10">
        <f>SUMIF(LANC_FAT[OP/OS],LAN_OP[[#This Row],[OP/OS]],LANC_FAT[VALOR DA NF COM IMPOSTO])</f>
        <v>0</v>
      </c>
      <c r="W26" s="3"/>
      <c r="X26" s="10">
        <f>SUMIF(LANC_COMPRA[OP/OS],LAN_OP[[#This Row],[OP/OS]],LANC_COMPRA[[VALOR ]])</f>
        <v>0</v>
      </c>
      <c r="Y26" s="10">
        <f>SUMIF(LANC_HORAS[OP/OS],LAN_OP[[#This Row],[OP/OS]],LANC_HORAS[TOTAL GERAL NORMAL])</f>
        <v>0</v>
      </c>
      <c r="Z26" s="10">
        <f>SUMIF(LANC_HORAS[OP/OS],LAN_OP[[#This Row],[OP/OS]],LANC_HORAS[TOTAL GERAL EXTRAS])</f>
        <v>0</v>
      </c>
      <c r="AA26" s="12">
        <f>SUMIF(LANC_HORAS[OP/OS],LAN_OP[[#This Row],[OP/OS]],LANC_HORAS[TOTAL H.N])</f>
        <v>0</v>
      </c>
      <c r="AB26" s="12">
        <f>SUMIF(LANC_HORAS[OP/OS],LAN_OP[[#This Row],[OP/OS]],LANC_HORAS[TOTAL H.E])</f>
        <v>0</v>
      </c>
      <c r="AC26" s="10">
        <f>SUMIF(LANC_DESPESAS[OS/OP],LAN_OP[[#This Row],[OP/OS]],LANC_DESPESAS[OBSERVAÇÕES])</f>
        <v>0</v>
      </c>
      <c r="AD26" s="3">
        <f>SUMIF(LANC_DESLOC[OS/OP],LAN_OP[[#This Row],[OP/OS]],LANC_DESLOC[ANO])</f>
        <v>0</v>
      </c>
      <c r="AE2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6" s="3">
        <f>LAN_OP[[#This Row],[TOTAL PARCIAL (M.O+MT+DESP)]]*1.08</f>
        <v>0</v>
      </c>
      <c r="AG26" s="3">
        <f>LAN_OP[[#This Row],[TOTAL PARCIAL + OUTROS CUSTOS (8%)]]*1.09</f>
        <v>0</v>
      </c>
      <c r="AH26" t="str">
        <f>IF(AND(U26&gt;=CALENDARIO!$B$2,U26&lt;=CALENDARIO!$C$2),"JANEIRO",IF(AND(U26&gt;=CALENDARIO!$B$3,U26&lt;=CALENDARIO!$C$3),"FEVEREIRO",IF(AND(U26&gt;=CALENDARIO!$B$4,U26&lt;=CALENDARIO!$C$4),"MARÇO",IF(AND(U26&gt;=CALENDARIO!$B$5,U26&lt;=CALENDARIO!$C$5),"ABRIL",IF(AND(U26&gt;=CALENDARIO!$B$6,U26&lt;=CALENDARIO!$C$6),"MAIO",IF(AND(U26&gt;=CALENDARIO!$B$7,U26&lt;=CALENDARIO!$C$7),"JUNHO",IF(AND(U26&gt;=CALENDARIO!$B$8,U26&lt;=CALENDARIO!$C$8),"JULHO",IF(AND(U26&gt;=CALENDARIO!$B$9,U26&lt;=CALENDARIO!$C$9),"AGOSTO",IF(AND(U26&gt;=CALENDARIO!$B$10,U26&lt;=CALENDARIO!$C$10),"SETEMBRO",IF(AND(U26&gt;=CALENDARIO!$B$11,U26&lt;=CALENDARIO!$C$11),"OUTUBRO",IF(AND(U26&gt;=CALENDARIO!$B$12,U26&lt;=CALENDARIO!$C$12),"NOVEMBRO",IF(AND(U26&gt;=CALENDARIO!$B$13,U26&lt;=CALENDARIO!$C$13),"DEZEMBRO","-"))))))))))))</f>
        <v>-</v>
      </c>
      <c r="AI26" s="3">
        <f>LAN_OP[[#This Row],[VALOR CONTRATO]]-LAN_OP[[#This Row],[TOTAL CUSTO (O.C + DI + MT + MO+DESP)]]</f>
        <v>0</v>
      </c>
      <c r="AJ26" s="11" t="str">
        <f>IFERROR(LAN_OP[[#This Row],[R$ (CONTRATO - CUSTOS)]]/LAN_OP[[#This Row],[VALOR CONTRATO]],"")</f>
        <v/>
      </c>
      <c r="AK26" s="3">
        <f>LAN_OP[[#This Row],[VALOR CONTRATO]]-LAN_OP[[#This Row],[VALOR FATURADO]]</f>
        <v>0</v>
      </c>
      <c r="AL26" s="3" t="str">
        <f>IF(AND(C26&gt;=CALENDARIO!$B$2,C26&lt;=CALENDARIO!$C$2),"JANEIRO",IF(AND(C26&gt;=CALENDARIO!$B$3,C26&lt;=CALENDARIO!$C$3),"FEVEREIRO",IF(AND(C26&gt;=CALENDARIO!$B$4,C26&lt;=CALENDARIO!$C$4),"MARÇO",IF(AND(C26&gt;=CALENDARIO!$B$5,C26&lt;=CALENDARIO!$C$5),"ABRIL",IF(AND(C26&gt;=CALENDARIO!$B$6,C26&lt;=CALENDARIO!$C$6),"MAIO",IF(AND(C26&gt;=CALENDARIO!$B$7,C26&lt;=CALENDARIO!$C$7),"JUNHO",IF(AND(C26&gt;=CALENDARIO!$B$8,C26&lt;=CALENDARIO!$C$8),"JULHO",IF(AND(C26&gt;=CALENDARIO!$B$9,C26&lt;=CALENDARIO!$C$9),"AGOSTO",IF(AND(C26&gt;=CALENDARIO!$B$10,C26&lt;=CALENDARIO!$C$10),"SETEMBRO",IF(AND(C26&gt;=CALENDARIO!$B$11,C26&lt;=CALENDARIO!$C$11),"OUTUBRO",IF(AND(C26&gt;=CALENDARIO!$B$12,C26&lt;=CALENDARIO!$C$12),"NOVEMBRO",IF(AND(C26&gt;=CALENDARIO!$B$13,C26&lt;=CALENDARIO!$C$13),"DEZEMBRO","-"))))))))))))</f>
        <v>-</v>
      </c>
      <c r="AM26" s="3" t="str">
        <f>RIGHT(LAN_OP[[#This Row],[OP/OS]],4)</f>
        <v/>
      </c>
    </row>
    <row r="27" spans="2:39" x14ac:dyDescent="0.3">
      <c r="B27" s="80"/>
      <c r="C27" s="140"/>
      <c r="G27"/>
      <c r="H27"/>
      <c r="I27" s="3"/>
      <c r="J27" s="3"/>
      <c r="K27" s="11" t="e">
        <f>LAN_OP[[#This Row],[VALOR FATURADO]]/LAN_OP[[#This Row],[VALOR CONTRATO]]</f>
        <v>#DIV/0!</v>
      </c>
      <c r="L27" s="4">
        <f>LAN_OP[[#This Row],[VALOR CONTRATO]]-LAN_OP[[#This Row],[VALOR FATURADO]]</f>
        <v>0</v>
      </c>
      <c r="M27" s="11" t="e">
        <v>#DIV/0!</v>
      </c>
      <c r="P27" s="11"/>
      <c r="Q27" s="141"/>
      <c r="R27" s="3"/>
      <c r="S27" s="4"/>
      <c r="T27" s="8" t="str">
        <f>IFERROR(VLOOKUP(LAN_OP[[#This Row],[OP/OS]],LANC_FAT!A:M,2,0),"-")</f>
        <v>-</v>
      </c>
      <c r="U27" s="9" t="str">
        <f>IFERROR(VLOOKUP(LAN_OP[[#This Row],[OP/OS]],LANC_FAT!A:M,8,0),"-")</f>
        <v>-</v>
      </c>
      <c r="V27" s="10">
        <f>SUMIF(LANC_FAT[OP/OS],LAN_OP[[#This Row],[OP/OS]],LANC_FAT[VALOR DA NF COM IMPOSTO])</f>
        <v>0</v>
      </c>
      <c r="W27" s="3"/>
      <c r="X27" s="10">
        <f>SUMIF(LANC_COMPRA[OP/OS],LAN_OP[[#This Row],[OP/OS]],LANC_COMPRA[[VALOR ]])</f>
        <v>0</v>
      </c>
      <c r="Y27" s="10">
        <f>SUMIF(LANC_HORAS[OP/OS],LAN_OP[[#This Row],[OP/OS]],LANC_HORAS[TOTAL GERAL NORMAL])</f>
        <v>0</v>
      </c>
      <c r="Z27" s="10">
        <f>SUMIF(LANC_HORAS[OP/OS],LAN_OP[[#This Row],[OP/OS]],LANC_HORAS[TOTAL GERAL EXTRAS])</f>
        <v>0</v>
      </c>
      <c r="AA27" s="12">
        <f>SUMIF(LANC_HORAS[OP/OS],LAN_OP[[#This Row],[OP/OS]],LANC_HORAS[TOTAL H.N])</f>
        <v>0</v>
      </c>
      <c r="AB27" s="12">
        <f>SUMIF(LANC_HORAS[OP/OS],LAN_OP[[#This Row],[OP/OS]],LANC_HORAS[TOTAL H.E])</f>
        <v>0</v>
      </c>
      <c r="AC27" s="10">
        <f>SUMIF(LANC_DESPESAS[OS/OP],LAN_OP[[#This Row],[OP/OS]],LANC_DESPESAS[OBSERVAÇÕES])</f>
        <v>0</v>
      </c>
      <c r="AD27" s="3">
        <f>SUMIF(LANC_DESLOC[OS/OP],LAN_OP[[#This Row],[OP/OS]],LANC_DESLOC[ANO])</f>
        <v>0</v>
      </c>
      <c r="AE2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7" s="3">
        <f>LAN_OP[[#This Row],[TOTAL PARCIAL (M.O+MT+DESP)]]*1.08</f>
        <v>0</v>
      </c>
      <c r="AG27" s="3">
        <f>LAN_OP[[#This Row],[TOTAL PARCIAL + OUTROS CUSTOS (8%)]]*1.09</f>
        <v>0</v>
      </c>
      <c r="AH27" t="str">
        <f>IF(AND(U27&gt;=CALENDARIO!$B$2,U27&lt;=CALENDARIO!$C$2),"JANEIRO",IF(AND(U27&gt;=CALENDARIO!$B$3,U27&lt;=CALENDARIO!$C$3),"FEVEREIRO",IF(AND(U27&gt;=CALENDARIO!$B$4,U27&lt;=CALENDARIO!$C$4),"MARÇO",IF(AND(U27&gt;=CALENDARIO!$B$5,U27&lt;=CALENDARIO!$C$5),"ABRIL",IF(AND(U27&gt;=CALENDARIO!$B$6,U27&lt;=CALENDARIO!$C$6),"MAIO",IF(AND(U27&gt;=CALENDARIO!$B$7,U27&lt;=CALENDARIO!$C$7),"JUNHO",IF(AND(U27&gt;=CALENDARIO!$B$8,U27&lt;=CALENDARIO!$C$8),"JULHO",IF(AND(U27&gt;=CALENDARIO!$B$9,U27&lt;=CALENDARIO!$C$9),"AGOSTO",IF(AND(U27&gt;=CALENDARIO!$B$10,U27&lt;=CALENDARIO!$C$10),"SETEMBRO",IF(AND(U27&gt;=CALENDARIO!$B$11,U27&lt;=CALENDARIO!$C$11),"OUTUBRO",IF(AND(U27&gt;=CALENDARIO!$B$12,U27&lt;=CALENDARIO!$C$12),"NOVEMBRO",IF(AND(U27&gt;=CALENDARIO!$B$13,U27&lt;=CALENDARIO!$C$13),"DEZEMBRO","-"))))))))))))</f>
        <v>-</v>
      </c>
      <c r="AI27" s="3">
        <f>LAN_OP[[#This Row],[VALOR CONTRATO]]-LAN_OP[[#This Row],[TOTAL CUSTO (O.C + DI + MT + MO+DESP)]]</f>
        <v>0</v>
      </c>
      <c r="AJ27" s="11" t="str">
        <f>IFERROR(LAN_OP[[#This Row],[R$ (CONTRATO - CUSTOS)]]/LAN_OP[[#This Row],[VALOR CONTRATO]],"")</f>
        <v/>
      </c>
      <c r="AK27" s="3">
        <f>LAN_OP[[#This Row],[VALOR CONTRATO]]-LAN_OP[[#This Row],[VALOR FATURADO]]</f>
        <v>0</v>
      </c>
      <c r="AL27" s="3" t="str">
        <f>IF(AND(C27&gt;=CALENDARIO!$B$2,C27&lt;=CALENDARIO!$C$2),"JANEIRO",IF(AND(C27&gt;=CALENDARIO!$B$3,C27&lt;=CALENDARIO!$C$3),"FEVEREIRO",IF(AND(C27&gt;=CALENDARIO!$B$4,C27&lt;=CALENDARIO!$C$4),"MARÇO",IF(AND(C27&gt;=CALENDARIO!$B$5,C27&lt;=CALENDARIO!$C$5),"ABRIL",IF(AND(C27&gt;=CALENDARIO!$B$6,C27&lt;=CALENDARIO!$C$6),"MAIO",IF(AND(C27&gt;=CALENDARIO!$B$7,C27&lt;=CALENDARIO!$C$7),"JUNHO",IF(AND(C27&gt;=CALENDARIO!$B$8,C27&lt;=CALENDARIO!$C$8),"JULHO",IF(AND(C27&gt;=CALENDARIO!$B$9,C27&lt;=CALENDARIO!$C$9),"AGOSTO",IF(AND(C27&gt;=CALENDARIO!$B$10,C27&lt;=CALENDARIO!$C$10),"SETEMBRO",IF(AND(C27&gt;=CALENDARIO!$B$11,C27&lt;=CALENDARIO!$C$11),"OUTUBRO",IF(AND(C27&gt;=CALENDARIO!$B$12,C27&lt;=CALENDARIO!$C$12),"NOVEMBRO",IF(AND(C27&gt;=CALENDARIO!$B$13,C27&lt;=CALENDARIO!$C$13),"DEZEMBRO","-"))))))))))))</f>
        <v>-</v>
      </c>
      <c r="AM27" s="3" t="str">
        <f>RIGHT(LAN_OP[[#This Row],[OP/OS]],4)</f>
        <v/>
      </c>
    </row>
    <row r="28" spans="2:39" x14ac:dyDescent="0.3">
      <c r="B28" s="80"/>
      <c r="C28" s="140"/>
      <c r="G28"/>
      <c r="H28"/>
      <c r="I28" s="3"/>
      <c r="J28" s="3"/>
      <c r="K28" s="11" t="e">
        <f>LAN_OP[[#This Row],[VALOR FATURADO]]/LAN_OP[[#This Row],[VALOR CONTRATO]]</f>
        <v>#DIV/0!</v>
      </c>
      <c r="L28" s="4">
        <f>LAN_OP[[#This Row],[VALOR CONTRATO]]-LAN_OP[[#This Row],[VALOR FATURADO]]</f>
        <v>0</v>
      </c>
      <c r="M28" s="11" t="e">
        <v>#DIV/0!</v>
      </c>
      <c r="P28" s="11"/>
      <c r="Q28" s="141"/>
      <c r="R28" s="3"/>
      <c r="S28" s="4"/>
      <c r="T28" s="8" t="str">
        <f>IFERROR(VLOOKUP(LAN_OP[[#This Row],[OP/OS]],LANC_FAT!A:M,2,0),"-")</f>
        <v>-</v>
      </c>
      <c r="U28" s="9" t="str">
        <f>IFERROR(VLOOKUP(LAN_OP[[#This Row],[OP/OS]],LANC_FAT!A:M,8,0),"-")</f>
        <v>-</v>
      </c>
      <c r="V28" s="10">
        <f>SUMIF(LANC_FAT[OP/OS],LAN_OP[[#This Row],[OP/OS]],LANC_FAT[VALOR DA NF COM IMPOSTO])</f>
        <v>0</v>
      </c>
      <c r="W28" s="3"/>
      <c r="X28" s="10">
        <f>SUMIF(LANC_COMPRA[OP/OS],LAN_OP[[#This Row],[OP/OS]],LANC_COMPRA[[VALOR ]])</f>
        <v>0</v>
      </c>
      <c r="Y28" s="10">
        <f>SUMIF(LANC_HORAS[OP/OS],LAN_OP[[#This Row],[OP/OS]],LANC_HORAS[TOTAL GERAL NORMAL])</f>
        <v>0</v>
      </c>
      <c r="Z28" s="10">
        <f>SUMIF(LANC_HORAS[OP/OS],LAN_OP[[#This Row],[OP/OS]],LANC_HORAS[TOTAL GERAL EXTRAS])</f>
        <v>0</v>
      </c>
      <c r="AA28" s="12">
        <f>SUMIF(LANC_HORAS[OP/OS],LAN_OP[[#This Row],[OP/OS]],LANC_HORAS[TOTAL H.N])</f>
        <v>0</v>
      </c>
      <c r="AB28" s="12">
        <f>SUMIF(LANC_HORAS[OP/OS],LAN_OP[[#This Row],[OP/OS]],LANC_HORAS[TOTAL H.E])</f>
        <v>0</v>
      </c>
      <c r="AC28" s="10">
        <f>SUMIF(LANC_DESPESAS[OS/OP],LAN_OP[[#This Row],[OP/OS]],LANC_DESPESAS[OBSERVAÇÕES])</f>
        <v>0</v>
      </c>
      <c r="AD28" s="3">
        <f>SUMIF(LANC_DESLOC[OS/OP],LAN_OP[[#This Row],[OP/OS]],LANC_DESLOC[ANO])</f>
        <v>0</v>
      </c>
      <c r="AE2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8" s="3">
        <f>LAN_OP[[#This Row],[TOTAL PARCIAL (M.O+MT+DESP)]]*1.08</f>
        <v>0</v>
      </c>
      <c r="AG28" s="3">
        <f>LAN_OP[[#This Row],[TOTAL PARCIAL + OUTROS CUSTOS (8%)]]*1.09</f>
        <v>0</v>
      </c>
      <c r="AH28" t="str">
        <f>IF(AND(U28&gt;=CALENDARIO!$B$2,U28&lt;=CALENDARIO!$C$2),"JANEIRO",IF(AND(U28&gt;=CALENDARIO!$B$3,U28&lt;=CALENDARIO!$C$3),"FEVEREIRO",IF(AND(U28&gt;=CALENDARIO!$B$4,U28&lt;=CALENDARIO!$C$4),"MARÇO",IF(AND(U28&gt;=CALENDARIO!$B$5,U28&lt;=CALENDARIO!$C$5),"ABRIL",IF(AND(U28&gt;=CALENDARIO!$B$6,U28&lt;=CALENDARIO!$C$6),"MAIO",IF(AND(U28&gt;=CALENDARIO!$B$7,U28&lt;=CALENDARIO!$C$7),"JUNHO",IF(AND(U28&gt;=CALENDARIO!$B$8,U28&lt;=CALENDARIO!$C$8),"JULHO",IF(AND(U28&gt;=CALENDARIO!$B$9,U28&lt;=CALENDARIO!$C$9),"AGOSTO",IF(AND(U28&gt;=CALENDARIO!$B$10,U28&lt;=CALENDARIO!$C$10),"SETEMBRO",IF(AND(U28&gt;=CALENDARIO!$B$11,U28&lt;=CALENDARIO!$C$11),"OUTUBRO",IF(AND(U28&gt;=CALENDARIO!$B$12,U28&lt;=CALENDARIO!$C$12),"NOVEMBRO",IF(AND(U28&gt;=CALENDARIO!$B$13,U28&lt;=CALENDARIO!$C$13),"DEZEMBRO","-"))))))))))))</f>
        <v>-</v>
      </c>
      <c r="AI28" s="3">
        <f>LAN_OP[[#This Row],[VALOR CONTRATO]]-LAN_OP[[#This Row],[TOTAL CUSTO (O.C + DI + MT + MO+DESP)]]</f>
        <v>0</v>
      </c>
      <c r="AJ28" s="11" t="str">
        <f>IFERROR(LAN_OP[[#This Row],[R$ (CONTRATO - CUSTOS)]]/LAN_OP[[#This Row],[VALOR CONTRATO]],"")</f>
        <v/>
      </c>
      <c r="AK28" s="3">
        <f>LAN_OP[[#This Row],[VALOR CONTRATO]]-LAN_OP[[#This Row],[VALOR FATURADO]]</f>
        <v>0</v>
      </c>
      <c r="AL28" s="3" t="str">
        <f>IF(AND(C28&gt;=CALENDARIO!$B$2,C28&lt;=CALENDARIO!$C$2),"JANEIRO",IF(AND(C28&gt;=CALENDARIO!$B$3,C28&lt;=CALENDARIO!$C$3),"FEVEREIRO",IF(AND(C28&gt;=CALENDARIO!$B$4,C28&lt;=CALENDARIO!$C$4),"MARÇO",IF(AND(C28&gt;=CALENDARIO!$B$5,C28&lt;=CALENDARIO!$C$5),"ABRIL",IF(AND(C28&gt;=CALENDARIO!$B$6,C28&lt;=CALENDARIO!$C$6),"MAIO",IF(AND(C28&gt;=CALENDARIO!$B$7,C28&lt;=CALENDARIO!$C$7),"JUNHO",IF(AND(C28&gt;=CALENDARIO!$B$8,C28&lt;=CALENDARIO!$C$8),"JULHO",IF(AND(C28&gt;=CALENDARIO!$B$9,C28&lt;=CALENDARIO!$C$9),"AGOSTO",IF(AND(C28&gt;=CALENDARIO!$B$10,C28&lt;=CALENDARIO!$C$10),"SETEMBRO",IF(AND(C28&gt;=CALENDARIO!$B$11,C28&lt;=CALENDARIO!$C$11),"OUTUBRO",IF(AND(C28&gt;=CALENDARIO!$B$12,C28&lt;=CALENDARIO!$C$12),"NOVEMBRO",IF(AND(C28&gt;=CALENDARIO!$B$13,C28&lt;=CALENDARIO!$C$13),"DEZEMBRO","-"))))))))))))</f>
        <v>-</v>
      </c>
      <c r="AM28" s="3" t="str">
        <f>RIGHT(LAN_OP[[#This Row],[OP/OS]],4)</f>
        <v/>
      </c>
    </row>
    <row r="29" spans="2:39" x14ac:dyDescent="0.3">
      <c r="B29" s="80"/>
      <c r="C29" s="140"/>
      <c r="G29"/>
      <c r="H29"/>
      <c r="I29" s="3"/>
      <c r="J29" s="3"/>
      <c r="K29" s="11" t="e">
        <f>LAN_OP[[#This Row],[VALOR FATURADO]]/LAN_OP[[#This Row],[VALOR CONTRATO]]</f>
        <v>#DIV/0!</v>
      </c>
      <c r="L29" s="4">
        <f>LAN_OP[[#This Row],[VALOR CONTRATO]]-LAN_OP[[#This Row],[VALOR FATURADO]]</f>
        <v>0</v>
      </c>
      <c r="M29" s="11" t="e">
        <v>#DIV/0!</v>
      </c>
      <c r="P29" s="11"/>
      <c r="Q29" s="141"/>
      <c r="R29" s="3"/>
      <c r="S29" s="4"/>
      <c r="T29" s="8" t="str">
        <f>IFERROR(VLOOKUP(LAN_OP[[#This Row],[OP/OS]],LANC_FAT!A:M,2,0),"-")</f>
        <v>-</v>
      </c>
      <c r="U29" s="9" t="str">
        <f>IFERROR(VLOOKUP(LAN_OP[[#This Row],[OP/OS]],LANC_FAT!A:M,8,0),"-")</f>
        <v>-</v>
      </c>
      <c r="V29" s="10">
        <f>SUMIF(LANC_FAT[OP/OS],LAN_OP[[#This Row],[OP/OS]],LANC_FAT[VALOR DA NF COM IMPOSTO])</f>
        <v>0</v>
      </c>
      <c r="W29" s="3"/>
      <c r="X29" s="10">
        <f>SUMIF(LANC_COMPRA[OP/OS],LAN_OP[[#This Row],[OP/OS]],LANC_COMPRA[[VALOR ]])</f>
        <v>0</v>
      </c>
      <c r="Y29" s="10">
        <f>SUMIF(LANC_HORAS[OP/OS],LAN_OP[[#This Row],[OP/OS]],LANC_HORAS[TOTAL GERAL NORMAL])</f>
        <v>0</v>
      </c>
      <c r="Z29" s="10">
        <f>SUMIF(LANC_HORAS[OP/OS],LAN_OP[[#This Row],[OP/OS]],LANC_HORAS[TOTAL GERAL EXTRAS])</f>
        <v>0</v>
      </c>
      <c r="AA29" s="12">
        <f>SUMIF(LANC_HORAS[OP/OS],LAN_OP[[#This Row],[OP/OS]],LANC_HORAS[TOTAL H.N])</f>
        <v>0</v>
      </c>
      <c r="AB29" s="12">
        <f>SUMIF(LANC_HORAS[OP/OS],LAN_OP[[#This Row],[OP/OS]],LANC_HORAS[TOTAL H.E])</f>
        <v>0</v>
      </c>
      <c r="AC29" s="10">
        <f>SUMIF(LANC_DESPESAS[OS/OP],LAN_OP[[#This Row],[OP/OS]],LANC_DESPESAS[OBSERVAÇÕES])</f>
        <v>0</v>
      </c>
      <c r="AD29" s="3">
        <f>SUMIF(LANC_DESLOC[OS/OP],LAN_OP[[#This Row],[OP/OS]],LANC_DESLOC[ANO])</f>
        <v>0</v>
      </c>
      <c r="AE2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29" s="3">
        <f>LAN_OP[[#This Row],[TOTAL PARCIAL (M.O+MT+DESP)]]*1.08</f>
        <v>0</v>
      </c>
      <c r="AG29" s="3">
        <f>LAN_OP[[#This Row],[TOTAL PARCIAL + OUTROS CUSTOS (8%)]]*1.09</f>
        <v>0</v>
      </c>
      <c r="AH29" t="str">
        <f>IF(AND(U29&gt;=CALENDARIO!$B$2,U29&lt;=CALENDARIO!$C$2),"JANEIRO",IF(AND(U29&gt;=CALENDARIO!$B$3,U29&lt;=CALENDARIO!$C$3),"FEVEREIRO",IF(AND(U29&gt;=CALENDARIO!$B$4,U29&lt;=CALENDARIO!$C$4),"MARÇO",IF(AND(U29&gt;=CALENDARIO!$B$5,U29&lt;=CALENDARIO!$C$5),"ABRIL",IF(AND(U29&gt;=CALENDARIO!$B$6,U29&lt;=CALENDARIO!$C$6),"MAIO",IF(AND(U29&gt;=CALENDARIO!$B$7,U29&lt;=CALENDARIO!$C$7),"JUNHO",IF(AND(U29&gt;=CALENDARIO!$B$8,U29&lt;=CALENDARIO!$C$8),"JULHO",IF(AND(U29&gt;=CALENDARIO!$B$9,U29&lt;=CALENDARIO!$C$9),"AGOSTO",IF(AND(U29&gt;=CALENDARIO!$B$10,U29&lt;=CALENDARIO!$C$10),"SETEMBRO",IF(AND(U29&gt;=CALENDARIO!$B$11,U29&lt;=CALENDARIO!$C$11),"OUTUBRO",IF(AND(U29&gt;=CALENDARIO!$B$12,U29&lt;=CALENDARIO!$C$12),"NOVEMBRO",IF(AND(U29&gt;=CALENDARIO!$B$13,U29&lt;=CALENDARIO!$C$13),"DEZEMBRO","-"))))))))))))</f>
        <v>-</v>
      </c>
      <c r="AI29" s="3">
        <f>LAN_OP[[#This Row],[VALOR CONTRATO]]-LAN_OP[[#This Row],[TOTAL CUSTO (O.C + DI + MT + MO+DESP)]]</f>
        <v>0</v>
      </c>
      <c r="AJ29" s="11" t="str">
        <f>IFERROR(LAN_OP[[#This Row],[R$ (CONTRATO - CUSTOS)]]/LAN_OP[[#This Row],[VALOR CONTRATO]],"")</f>
        <v/>
      </c>
      <c r="AK29" s="3">
        <f>LAN_OP[[#This Row],[VALOR CONTRATO]]-LAN_OP[[#This Row],[VALOR FATURADO]]</f>
        <v>0</v>
      </c>
      <c r="AL29" s="3" t="str">
        <f>IF(AND(C29&gt;=CALENDARIO!$B$2,C29&lt;=CALENDARIO!$C$2),"JANEIRO",IF(AND(C29&gt;=CALENDARIO!$B$3,C29&lt;=CALENDARIO!$C$3),"FEVEREIRO",IF(AND(C29&gt;=CALENDARIO!$B$4,C29&lt;=CALENDARIO!$C$4),"MARÇO",IF(AND(C29&gt;=CALENDARIO!$B$5,C29&lt;=CALENDARIO!$C$5),"ABRIL",IF(AND(C29&gt;=CALENDARIO!$B$6,C29&lt;=CALENDARIO!$C$6),"MAIO",IF(AND(C29&gt;=CALENDARIO!$B$7,C29&lt;=CALENDARIO!$C$7),"JUNHO",IF(AND(C29&gt;=CALENDARIO!$B$8,C29&lt;=CALENDARIO!$C$8),"JULHO",IF(AND(C29&gt;=CALENDARIO!$B$9,C29&lt;=CALENDARIO!$C$9),"AGOSTO",IF(AND(C29&gt;=CALENDARIO!$B$10,C29&lt;=CALENDARIO!$C$10),"SETEMBRO",IF(AND(C29&gt;=CALENDARIO!$B$11,C29&lt;=CALENDARIO!$C$11),"OUTUBRO",IF(AND(C29&gt;=CALENDARIO!$B$12,C29&lt;=CALENDARIO!$C$12),"NOVEMBRO",IF(AND(C29&gt;=CALENDARIO!$B$13,C29&lt;=CALENDARIO!$C$13),"DEZEMBRO","-"))))))))))))</f>
        <v>-</v>
      </c>
      <c r="AM29" s="3" t="str">
        <f>RIGHT(LAN_OP[[#This Row],[OP/OS]],4)</f>
        <v/>
      </c>
    </row>
    <row r="30" spans="2:39" x14ac:dyDescent="0.3">
      <c r="B30" s="80"/>
      <c r="C30" s="140"/>
      <c r="G30"/>
      <c r="H30"/>
      <c r="I30" s="3"/>
      <c r="J30" s="3"/>
      <c r="K30" s="11" t="e">
        <f>LAN_OP[[#This Row],[VALOR FATURADO]]/LAN_OP[[#This Row],[VALOR CONTRATO]]</f>
        <v>#DIV/0!</v>
      </c>
      <c r="L30" s="4">
        <f>LAN_OP[[#This Row],[VALOR CONTRATO]]-LAN_OP[[#This Row],[VALOR FATURADO]]</f>
        <v>0</v>
      </c>
      <c r="M30" s="11" t="e">
        <v>#DIV/0!</v>
      </c>
      <c r="P30" s="11"/>
      <c r="Q30" s="141"/>
      <c r="R30" s="3"/>
      <c r="S30" s="4"/>
      <c r="T30" s="8" t="str">
        <f>IFERROR(VLOOKUP(LAN_OP[[#This Row],[OP/OS]],LANC_FAT!A:M,2,0),"-")</f>
        <v>-</v>
      </c>
      <c r="U30" s="9" t="str">
        <f>IFERROR(VLOOKUP(LAN_OP[[#This Row],[OP/OS]],LANC_FAT!A:M,8,0),"-")</f>
        <v>-</v>
      </c>
      <c r="V30" s="10">
        <f>SUMIF(LANC_FAT[OP/OS],LAN_OP[[#This Row],[OP/OS]],LANC_FAT[VALOR DA NF COM IMPOSTO])</f>
        <v>0</v>
      </c>
      <c r="W30" s="3"/>
      <c r="X30" s="10">
        <f>SUMIF(LANC_COMPRA[OP/OS],LAN_OP[[#This Row],[OP/OS]],LANC_COMPRA[[VALOR ]])</f>
        <v>0</v>
      </c>
      <c r="Y30" s="10">
        <f>SUMIF(LANC_HORAS[OP/OS],LAN_OP[[#This Row],[OP/OS]],LANC_HORAS[TOTAL GERAL NORMAL])</f>
        <v>0</v>
      </c>
      <c r="Z30" s="10">
        <f>SUMIF(LANC_HORAS[OP/OS],LAN_OP[[#This Row],[OP/OS]],LANC_HORAS[TOTAL GERAL EXTRAS])</f>
        <v>0</v>
      </c>
      <c r="AA30" s="12">
        <f>SUMIF(LANC_HORAS[OP/OS],LAN_OP[[#This Row],[OP/OS]],LANC_HORAS[TOTAL H.N])</f>
        <v>0</v>
      </c>
      <c r="AB30" s="12">
        <f>SUMIF(LANC_HORAS[OP/OS],LAN_OP[[#This Row],[OP/OS]],LANC_HORAS[TOTAL H.E])</f>
        <v>0</v>
      </c>
      <c r="AC30" s="10">
        <f>SUMIF(LANC_DESPESAS[OS/OP],LAN_OP[[#This Row],[OP/OS]],LANC_DESPESAS[OBSERVAÇÕES])</f>
        <v>0</v>
      </c>
      <c r="AD30" s="3">
        <f>SUMIF(LANC_DESLOC[OS/OP],LAN_OP[[#This Row],[OP/OS]],LANC_DESLOC[ANO])</f>
        <v>0</v>
      </c>
      <c r="AE3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0" s="3">
        <f>LAN_OP[[#This Row],[TOTAL PARCIAL (M.O+MT+DESP)]]*1.08</f>
        <v>0</v>
      </c>
      <c r="AG30" s="3">
        <f>LAN_OP[[#This Row],[TOTAL PARCIAL + OUTROS CUSTOS (8%)]]*1.09</f>
        <v>0</v>
      </c>
      <c r="AH30" t="str">
        <f>IF(AND(U30&gt;=CALENDARIO!$B$2,U30&lt;=CALENDARIO!$C$2),"JANEIRO",IF(AND(U30&gt;=CALENDARIO!$B$3,U30&lt;=CALENDARIO!$C$3),"FEVEREIRO",IF(AND(U30&gt;=CALENDARIO!$B$4,U30&lt;=CALENDARIO!$C$4),"MARÇO",IF(AND(U30&gt;=CALENDARIO!$B$5,U30&lt;=CALENDARIO!$C$5),"ABRIL",IF(AND(U30&gt;=CALENDARIO!$B$6,U30&lt;=CALENDARIO!$C$6),"MAIO",IF(AND(U30&gt;=CALENDARIO!$B$7,U30&lt;=CALENDARIO!$C$7),"JUNHO",IF(AND(U30&gt;=CALENDARIO!$B$8,U30&lt;=CALENDARIO!$C$8),"JULHO",IF(AND(U30&gt;=CALENDARIO!$B$9,U30&lt;=CALENDARIO!$C$9),"AGOSTO",IF(AND(U30&gt;=CALENDARIO!$B$10,U30&lt;=CALENDARIO!$C$10),"SETEMBRO",IF(AND(U30&gt;=CALENDARIO!$B$11,U30&lt;=CALENDARIO!$C$11),"OUTUBRO",IF(AND(U30&gt;=CALENDARIO!$B$12,U30&lt;=CALENDARIO!$C$12),"NOVEMBRO",IF(AND(U30&gt;=CALENDARIO!$B$13,U30&lt;=CALENDARIO!$C$13),"DEZEMBRO","-"))))))))))))</f>
        <v>-</v>
      </c>
      <c r="AI30" s="3">
        <f>LAN_OP[[#This Row],[VALOR CONTRATO]]-LAN_OP[[#This Row],[TOTAL CUSTO (O.C + DI + MT + MO+DESP)]]</f>
        <v>0</v>
      </c>
      <c r="AJ30" s="11" t="str">
        <f>IFERROR(LAN_OP[[#This Row],[R$ (CONTRATO - CUSTOS)]]/LAN_OP[[#This Row],[VALOR CONTRATO]],"")</f>
        <v/>
      </c>
      <c r="AK30" s="3">
        <f>LAN_OP[[#This Row],[VALOR CONTRATO]]-LAN_OP[[#This Row],[VALOR FATURADO]]</f>
        <v>0</v>
      </c>
      <c r="AL30" s="3" t="str">
        <f>IF(AND(C30&gt;=CALENDARIO!$B$2,C30&lt;=CALENDARIO!$C$2),"JANEIRO",IF(AND(C30&gt;=CALENDARIO!$B$3,C30&lt;=CALENDARIO!$C$3),"FEVEREIRO",IF(AND(C30&gt;=CALENDARIO!$B$4,C30&lt;=CALENDARIO!$C$4),"MARÇO",IF(AND(C30&gt;=CALENDARIO!$B$5,C30&lt;=CALENDARIO!$C$5),"ABRIL",IF(AND(C30&gt;=CALENDARIO!$B$6,C30&lt;=CALENDARIO!$C$6),"MAIO",IF(AND(C30&gt;=CALENDARIO!$B$7,C30&lt;=CALENDARIO!$C$7),"JUNHO",IF(AND(C30&gt;=CALENDARIO!$B$8,C30&lt;=CALENDARIO!$C$8),"JULHO",IF(AND(C30&gt;=CALENDARIO!$B$9,C30&lt;=CALENDARIO!$C$9),"AGOSTO",IF(AND(C30&gt;=CALENDARIO!$B$10,C30&lt;=CALENDARIO!$C$10),"SETEMBRO",IF(AND(C30&gt;=CALENDARIO!$B$11,C30&lt;=CALENDARIO!$C$11),"OUTUBRO",IF(AND(C30&gt;=CALENDARIO!$B$12,C30&lt;=CALENDARIO!$C$12),"NOVEMBRO",IF(AND(C30&gt;=CALENDARIO!$B$13,C30&lt;=CALENDARIO!$C$13),"DEZEMBRO","-"))))))))))))</f>
        <v>-</v>
      </c>
      <c r="AM30" s="3" t="str">
        <f>RIGHT(LAN_OP[[#This Row],[OP/OS]],4)</f>
        <v/>
      </c>
    </row>
    <row r="31" spans="2:39" x14ac:dyDescent="0.3">
      <c r="B31" s="80"/>
      <c r="C31" s="140"/>
      <c r="G31"/>
      <c r="H31"/>
      <c r="I31" s="3"/>
      <c r="J31" s="3"/>
      <c r="K31" s="11" t="e">
        <f>LAN_OP[[#This Row],[VALOR FATURADO]]/LAN_OP[[#This Row],[VALOR CONTRATO]]</f>
        <v>#DIV/0!</v>
      </c>
      <c r="L31" s="4">
        <f>LAN_OP[[#This Row],[VALOR CONTRATO]]-LAN_OP[[#This Row],[VALOR FATURADO]]</f>
        <v>0</v>
      </c>
      <c r="M31" s="11" t="e">
        <v>#DIV/0!</v>
      </c>
      <c r="P31" s="11"/>
      <c r="Q31" s="141"/>
      <c r="R31" s="3"/>
      <c r="S31" s="4"/>
      <c r="T31" s="8" t="str">
        <f>IFERROR(VLOOKUP(LAN_OP[[#This Row],[OP/OS]],LANC_FAT!A:M,2,0),"-")</f>
        <v>-</v>
      </c>
      <c r="U31" s="9" t="str">
        <f>IFERROR(VLOOKUP(LAN_OP[[#This Row],[OP/OS]],LANC_FAT!A:M,8,0),"-")</f>
        <v>-</v>
      </c>
      <c r="V31" s="10">
        <f>SUMIF(LANC_FAT[OP/OS],LAN_OP[[#This Row],[OP/OS]],LANC_FAT[VALOR DA NF COM IMPOSTO])</f>
        <v>0</v>
      </c>
      <c r="W31" s="3"/>
      <c r="X31" s="10">
        <f>SUMIF(LANC_COMPRA[OP/OS],LAN_OP[[#This Row],[OP/OS]],LANC_COMPRA[[VALOR ]])</f>
        <v>0</v>
      </c>
      <c r="Y31" s="10">
        <f>SUMIF(LANC_HORAS[OP/OS],LAN_OP[[#This Row],[OP/OS]],LANC_HORAS[TOTAL GERAL NORMAL])</f>
        <v>0</v>
      </c>
      <c r="Z31" s="10">
        <f>SUMIF(LANC_HORAS[OP/OS],LAN_OP[[#This Row],[OP/OS]],LANC_HORAS[TOTAL GERAL EXTRAS])</f>
        <v>0</v>
      </c>
      <c r="AA31" s="12">
        <f>SUMIF(LANC_HORAS[OP/OS],LAN_OP[[#This Row],[OP/OS]],LANC_HORAS[TOTAL H.N])</f>
        <v>0</v>
      </c>
      <c r="AB31" s="12">
        <f>SUMIF(LANC_HORAS[OP/OS],LAN_OP[[#This Row],[OP/OS]],LANC_HORAS[TOTAL H.E])</f>
        <v>0</v>
      </c>
      <c r="AC31" s="10">
        <f>SUMIF(LANC_DESPESAS[OS/OP],LAN_OP[[#This Row],[OP/OS]],LANC_DESPESAS[OBSERVAÇÕES])</f>
        <v>0</v>
      </c>
      <c r="AD31" s="3">
        <f>SUMIF(LANC_DESLOC[OS/OP],LAN_OP[[#This Row],[OP/OS]],LANC_DESLOC[ANO])</f>
        <v>0</v>
      </c>
      <c r="AE3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1" s="3">
        <f>LAN_OP[[#This Row],[TOTAL PARCIAL (M.O+MT+DESP)]]*1.08</f>
        <v>0</v>
      </c>
      <c r="AG31" s="3">
        <f>LAN_OP[[#This Row],[TOTAL PARCIAL + OUTROS CUSTOS (8%)]]*1.09</f>
        <v>0</v>
      </c>
      <c r="AH31" t="str">
        <f>IF(AND(U31&gt;=CALENDARIO!$B$2,U31&lt;=CALENDARIO!$C$2),"JANEIRO",IF(AND(U31&gt;=CALENDARIO!$B$3,U31&lt;=CALENDARIO!$C$3),"FEVEREIRO",IF(AND(U31&gt;=CALENDARIO!$B$4,U31&lt;=CALENDARIO!$C$4),"MARÇO",IF(AND(U31&gt;=CALENDARIO!$B$5,U31&lt;=CALENDARIO!$C$5),"ABRIL",IF(AND(U31&gt;=CALENDARIO!$B$6,U31&lt;=CALENDARIO!$C$6),"MAIO",IF(AND(U31&gt;=CALENDARIO!$B$7,U31&lt;=CALENDARIO!$C$7),"JUNHO",IF(AND(U31&gt;=CALENDARIO!$B$8,U31&lt;=CALENDARIO!$C$8),"JULHO",IF(AND(U31&gt;=CALENDARIO!$B$9,U31&lt;=CALENDARIO!$C$9),"AGOSTO",IF(AND(U31&gt;=CALENDARIO!$B$10,U31&lt;=CALENDARIO!$C$10),"SETEMBRO",IF(AND(U31&gt;=CALENDARIO!$B$11,U31&lt;=CALENDARIO!$C$11),"OUTUBRO",IF(AND(U31&gt;=CALENDARIO!$B$12,U31&lt;=CALENDARIO!$C$12),"NOVEMBRO",IF(AND(U31&gt;=CALENDARIO!$B$13,U31&lt;=CALENDARIO!$C$13),"DEZEMBRO","-"))))))))))))</f>
        <v>-</v>
      </c>
      <c r="AI31" s="3">
        <f>LAN_OP[[#This Row],[VALOR CONTRATO]]-LAN_OP[[#This Row],[TOTAL CUSTO (O.C + DI + MT + MO+DESP)]]</f>
        <v>0</v>
      </c>
      <c r="AJ31" s="11" t="str">
        <f>IFERROR(LAN_OP[[#This Row],[R$ (CONTRATO - CUSTOS)]]/LAN_OP[[#This Row],[VALOR CONTRATO]],"")</f>
        <v/>
      </c>
      <c r="AK31" s="3">
        <f>LAN_OP[[#This Row],[VALOR CONTRATO]]-LAN_OP[[#This Row],[VALOR FATURADO]]</f>
        <v>0</v>
      </c>
      <c r="AL31" s="3" t="str">
        <f>IF(AND(C31&gt;=CALENDARIO!$B$2,C31&lt;=CALENDARIO!$C$2),"JANEIRO",IF(AND(C31&gt;=CALENDARIO!$B$3,C31&lt;=CALENDARIO!$C$3),"FEVEREIRO",IF(AND(C31&gt;=CALENDARIO!$B$4,C31&lt;=CALENDARIO!$C$4),"MARÇO",IF(AND(C31&gt;=CALENDARIO!$B$5,C31&lt;=CALENDARIO!$C$5),"ABRIL",IF(AND(C31&gt;=CALENDARIO!$B$6,C31&lt;=CALENDARIO!$C$6),"MAIO",IF(AND(C31&gt;=CALENDARIO!$B$7,C31&lt;=CALENDARIO!$C$7),"JUNHO",IF(AND(C31&gt;=CALENDARIO!$B$8,C31&lt;=CALENDARIO!$C$8),"JULHO",IF(AND(C31&gt;=CALENDARIO!$B$9,C31&lt;=CALENDARIO!$C$9),"AGOSTO",IF(AND(C31&gt;=CALENDARIO!$B$10,C31&lt;=CALENDARIO!$C$10),"SETEMBRO",IF(AND(C31&gt;=CALENDARIO!$B$11,C31&lt;=CALENDARIO!$C$11),"OUTUBRO",IF(AND(C31&gt;=CALENDARIO!$B$12,C31&lt;=CALENDARIO!$C$12),"NOVEMBRO",IF(AND(C31&gt;=CALENDARIO!$B$13,C31&lt;=CALENDARIO!$C$13),"DEZEMBRO","-"))))))))))))</f>
        <v>-</v>
      </c>
      <c r="AM31" s="3" t="str">
        <f>RIGHT(LAN_OP[[#This Row],[OP/OS]],4)</f>
        <v/>
      </c>
    </row>
    <row r="32" spans="2:39" x14ac:dyDescent="0.3">
      <c r="B32" s="80"/>
      <c r="C32" s="140"/>
      <c r="G32"/>
      <c r="H32"/>
      <c r="I32" s="3"/>
      <c r="J32" s="3"/>
      <c r="K32" s="11" t="e">
        <f>LAN_OP[[#This Row],[VALOR FATURADO]]/LAN_OP[[#This Row],[VALOR CONTRATO]]</f>
        <v>#DIV/0!</v>
      </c>
      <c r="L32" s="4">
        <f>LAN_OP[[#This Row],[VALOR CONTRATO]]-LAN_OP[[#This Row],[VALOR FATURADO]]</f>
        <v>0</v>
      </c>
      <c r="M32" s="11" t="e">
        <v>#DIV/0!</v>
      </c>
      <c r="P32" s="11"/>
      <c r="Q32" s="141"/>
      <c r="R32" s="3"/>
      <c r="S32" s="4"/>
      <c r="T32" s="8" t="str">
        <f>IFERROR(VLOOKUP(LAN_OP[[#This Row],[OP/OS]],LANC_FAT!A:M,2,0),"-")</f>
        <v>-</v>
      </c>
      <c r="U32" s="9" t="str">
        <f>IFERROR(VLOOKUP(LAN_OP[[#This Row],[OP/OS]],LANC_FAT!A:M,8,0),"-")</f>
        <v>-</v>
      </c>
      <c r="V32" s="10">
        <f>SUMIF(LANC_FAT[OP/OS],LAN_OP[[#This Row],[OP/OS]],LANC_FAT[VALOR DA NF COM IMPOSTO])</f>
        <v>0</v>
      </c>
      <c r="W32" s="3"/>
      <c r="X32" s="10">
        <f>SUMIF(LANC_COMPRA[OP/OS],LAN_OP[[#This Row],[OP/OS]],LANC_COMPRA[[VALOR ]])</f>
        <v>0</v>
      </c>
      <c r="Y32" s="10">
        <f>SUMIF(LANC_HORAS[OP/OS],LAN_OP[[#This Row],[OP/OS]],LANC_HORAS[TOTAL GERAL NORMAL])</f>
        <v>0</v>
      </c>
      <c r="Z32" s="10">
        <f>SUMIF(LANC_HORAS[OP/OS],LAN_OP[[#This Row],[OP/OS]],LANC_HORAS[TOTAL GERAL EXTRAS])</f>
        <v>0</v>
      </c>
      <c r="AA32" s="12">
        <f>SUMIF(LANC_HORAS[OP/OS],LAN_OP[[#This Row],[OP/OS]],LANC_HORAS[TOTAL H.N])</f>
        <v>0</v>
      </c>
      <c r="AB32" s="12">
        <f>SUMIF(LANC_HORAS[OP/OS],LAN_OP[[#This Row],[OP/OS]],LANC_HORAS[TOTAL H.E])</f>
        <v>0</v>
      </c>
      <c r="AC32" s="10">
        <f>SUMIF(LANC_DESPESAS[OS/OP],LAN_OP[[#This Row],[OP/OS]],LANC_DESPESAS[OBSERVAÇÕES])</f>
        <v>0</v>
      </c>
      <c r="AD32" s="3">
        <f>SUMIF(LANC_DESLOC[OS/OP],LAN_OP[[#This Row],[OP/OS]],LANC_DESLOC[ANO])</f>
        <v>0</v>
      </c>
      <c r="AE3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2" s="3">
        <f>LAN_OP[[#This Row],[TOTAL PARCIAL (M.O+MT+DESP)]]*1.08</f>
        <v>0</v>
      </c>
      <c r="AG32" s="3">
        <f>LAN_OP[[#This Row],[TOTAL PARCIAL + OUTROS CUSTOS (8%)]]*1.09</f>
        <v>0</v>
      </c>
      <c r="AH32" t="str">
        <f>IF(AND(U32&gt;=CALENDARIO!$B$2,U32&lt;=CALENDARIO!$C$2),"JANEIRO",IF(AND(U32&gt;=CALENDARIO!$B$3,U32&lt;=CALENDARIO!$C$3),"FEVEREIRO",IF(AND(U32&gt;=CALENDARIO!$B$4,U32&lt;=CALENDARIO!$C$4),"MARÇO",IF(AND(U32&gt;=CALENDARIO!$B$5,U32&lt;=CALENDARIO!$C$5),"ABRIL",IF(AND(U32&gt;=CALENDARIO!$B$6,U32&lt;=CALENDARIO!$C$6),"MAIO",IF(AND(U32&gt;=CALENDARIO!$B$7,U32&lt;=CALENDARIO!$C$7),"JUNHO",IF(AND(U32&gt;=CALENDARIO!$B$8,U32&lt;=CALENDARIO!$C$8),"JULHO",IF(AND(U32&gt;=CALENDARIO!$B$9,U32&lt;=CALENDARIO!$C$9),"AGOSTO",IF(AND(U32&gt;=CALENDARIO!$B$10,U32&lt;=CALENDARIO!$C$10),"SETEMBRO",IF(AND(U32&gt;=CALENDARIO!$B$11,U32&lt;=CALENDARIO!$C$11),"OUTUBRO",IF(AND(U32&gt;=CALENDARIO!$B$12,U32&lt;=CALENDARIO!$C$12),"NOVEMBRO",IF(AND(U32&gt;=CALENDARIO!$B$13,U32&lt;=CALENDARIO!$C$13),"DEZEMBRO","-"))))))))))))</f>
        <v>-</v>
      </c>
      <c r="AI32" s="3">
        <f>LAN_OP[[#This Row],[VALOR CONTRATO]]-LAN_OP[[#This Row],[TOTAL CUSTO (O.C + DI + MT + MO+DESP)]]</f>
        <v>0</v>
      </c>
      <c r="AJ32" s="11" t="str">
        <f>IFERROR(LAN_OP[[#This Row],[R$ (CONTRATO - CUSTOS)]]/LAN_OP[[#This Row],[VALOR CONTRATO]],"")</f>
        <v/>
      </c>
      <c r="AK32" s="3">
        <f>LAN_OP[[#This Row],[VALOR CONTRATO]]-LAN_OP[[#This Row],[VALOR FATURADO]]</f>
        <v>0</v>
      </c>
      <c r="AL32" s="3" t="str">
        <f>IF(AND(C32&gt;=CALENDARIO!$B$2,C32&lt;=CALENDARIO!$C$2),"JANEIRO",IF(AND(C32&gt;=CALENDARIO!$B$3,C32&lt;=CALENDARIO!$C$3),"FEVEREIRO",IF(AND(C32&gt;=CALENDARIO!$B$4,C32&lt;=CALENDARIO!$C$4),"MARÇO",IF(AND(C32&gt;=CALENDARIO!$B$5,C32&lt;=CALENDARIO!$C$5),"ABRIL",IF(AND(C32&gt;=CALENDARIO!$B$6,C32&lt;=CALENDARIO!$C$6),"MAIO",IF(AND(C32&gt;=CALENDARIO!$B$7,C32&lt;=CALENDARIO!$C$7),"JUNHO",IF(AND(C32&gt;=CALENDARIO!$B$8,C32&lt;=CALENDARIO!$C$8),"JULHO",IF(AND(C32&gt;=CALENDARIO!$B$9,C32&lt;=CALENDARIO!$C$9),"AGOSTO",IF(AND(C32&gt;=CALENDARIO!$B$10,C32&lt;=CALENDARIO!$C$10),"SETEMBRO",IF(AND(C32&gt;=CALENDARIO!$B$11,C32&lt;=CALENDARIO!$C$11),"OUTUBRO",IF(AND(C32&gt;=CALENDARIO!$B$12,C32&lt;=CALENDARIO!$C$12),"NOVEMBRO",IF(AND(C32&gt;=CALENDARIO!$B$13,C32&lt;=CALENDARIO!$C$13),"DEZEMBRO","-"))))))))))))</f>
        <v>-</v>
      </c>
      <c r="AM32" s="3" t="str">
        <f>RIGHT(LAN_OP[[#This Row],[OP/OS]],4)</f>
        <v/>
      </c>
    </row>
    <row r="33" spans="2:39" x14ac:dyDescent="0.3">
      <c r="B33" s="80"/>
      <c r="C33" s="140"/>
      <c r="G33"/>
      <c r="H33"/>
      <c r="I33" s="3"/>
      <c r="J33" s="3"/>
      <c r="K33" s="11" t="e">
        <f>LAN_OP[[#This Row],[VALOR FATURADO]]/LAN_OP[[#This Row],[VALOR CONTRATO]]</f>
        <v>#DIV/0!</v>
      </c>
      <c r="L33" s="4">
        <f>LAN_OP[[#This Row],[VALOR CONTRATO]]-LAN_OP[[#This Row],[VALOR FATURADO]]</f>
        <v>0</v>
      </c>
      <c r="M33" s="11" t="e">
        <v>#DIV/0!</v>
      </c>
      <c r="P33" s="11"/>
      <c r="Q33" s="141"/>
      <c r="R33" s="3"/>
      <c r="S33" s="4"/>
      <c r="T33" s="8" t="str">
        <f>IFERROR(VLOOKUP(LAN_OP[[#This Row],[OP/OS]],LANC_FAT!A:M,2,0),"-")</f>
        <v>-</v>
      </c>
      <c r="U33" s="9" t="str">
        <f>IFERROR(VLOOKUP(LAN_OP[[#This Row],[OP/OS]],LANC_FAT!A:M,8,0),"-")</f>
        <v>-</v>
      </c>
      <c r="V33" s="10">
        <f>SUMIF(LANC_FAT[OP/OS],LAN_OP[[#This Row],[OP/OS]],LANC_FAT[VALOR DA NF COM IMPOSTO])</f>
        <v>0</v>
      </c>
      <c r="W33" s="3"/>
      <c r="X33" s="10">
        <f>SUMIF(LANC_COMPRA[OP/OS],LAN_OP[[#This Row],[OP/OS]],LANC_COMPRA[[VALOR ]])</f>
        <v>0</v>
      </c>
      <c r="Y33" s="10">
        <f>SUMIF(LANC_HORAS[OP/OS],LAN_OP[[#This Row],[OP/OS]],LANC_HORAS[TOTAL GERAL NORMAL])</f>
        <v>0</v>
      </c>
      <c r="Z33" s="10">
        <f>SUMIF(LANC_HORAS[OP/OS],LAN_OP[[#This Row],[OP/OS]],LANC_HORAS[TOTAL GERAL EXTRAS])</f>
        <v>0</v>
      </c>
      <c r="AA33" s="12">
        <f>SUMIF(LANC_HORAS[OP/OS],LAN_OP[[#This Row],[OP/OS]],LANC_HORAS[TOTAL H.N])</f>
        <v>0</v>
      </c>
      <c r="AB33" s="12">
        <f>SUMIF(LANC_HORAS[OP/OS],LAN_OP[[#This Row],[OP/OS]],LANC_HORAS[TOTAL H.E])</f>
        <v>0</v>
      </c>
      <c r="AC33" s="10">
        <f>SUMIF(LANC_DESPESAS[OS/OP],LAN_OP[[#This Row],[OP/OS]],LANC_DESPESAS[OBSERVAÇÕES])</f>
        <v>0</v>
      </c>
      <c r="AD33" s="3">
        <f>SUMIF(LANC_DESLOC[OS/OP],LAN_OP[[#This Row],[OP/OS]],LANC_DESLOC[ANO])</f>
        <v>0</v>
      </c>
      <c r="AE3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3" s="3">
        <f>LAN_OP[[#This Row],[TOTAL PARCIAL (M.O+MT+DESP)]]*1.08</f>
        <v>0</v>
      </c>
      <c r="AG33" s="3">
        <f>LAN_OP[[#This Row],[TOTAL PARCIAL + OUTROS CUSTOS (8%)]]*1.09</f>
        <v>0</v>
      </c>
      <c r="AH33" t="str">
        <f>IF(AND(U33&gt;=CALENDARIO!$B$2,U33&lt;=CALENDARIO!$C$2),"JANEIRO",IF(AND(U33&gt;=CALENDARIO!$B$3,U33&lt;=CALENDARIO!$C$3),"FEVEREIRO",IF(AND(U33&gt;=CALENDARIO!$B$4,U33&lt;=CALENDARIO!$C$4),"MARÇO",IF(AND(U33&gt;=CALENDARIO!$B$5,U33&lt;=CALENDARIO!$C$5),"ABRIL",IF(AND(U33&gt;=CALENDARIO!$B$6,U33&lt;=CALENDARIO!$C$6),"MAIO",IF(AND(U33&gt;=CALENDARIO!$B$7,U33&lt;=CALENDARIO!$C$7),"JUNHO",IF(AND(U33&gt;=CALENDARIO!$B$8,U33&lt;=CALENDARIO!$C$8),"JULHO",IF(AND(U33&gt;=CALENDARIO!$B$9,U33&lt;=CALENDARIO!$C$9),"AGOSTO",IF(AND(U33&gt;=CALENDARIO!$B$10,U33&lt;=CALENDARIO!$C$10),"SETEMBRO",IF(AND(U33&gt;=CALENDARIO!$B$11,U33&lt;=CALENDARIO!$C$11),"OUTUBRO",IF(AND(U33&gt;=CALENDARIO!$B$12,U33&lt;=CALENDARIO!$C$12),"NOVEMBRO",IF(AND(U33&gt;=CALENDARIO!$B$13,U33&lt;=CALENDARIO!$C$13),"DEZEMBRO","-"))))))))))))</f>
        <v>-</v>
      </c>
      <c r="AI33" s="3">
        <f>LAN_OP[[#This Row],[VALOR CONTRATO]]-LAN_OP[[#This Row],[TOTAL CUSTO (O.C + DI + MT + MO+DESP)]]</f>
        <v>0</v>
      </c>
      <c r="AJ33" s="11" t="str">
        <f>IFERROR(LAN_OP[[#This Row],[R$ (CONTRATO - CUSTOS)]]/LAN_OP[[#This Row],[VALOR CONTRATO]],"")</f>
        <v/>
      </c>
      <c r="AK33" s="3">
        <f>LAN_OP[[#This Row],[VALOR CONTRATO]]-LAN_OP[[#This Row],[VALOR FATURADO]]</f>
        <v>0</v>
      </c>
      <c r="AL33" s="3" t="str">
        <f>IF(AND(C33&gt;=CALENDARIO!$B$2,C33&lt;=CALENDARIO!$C$2),"JANEIRO",IF(AND(C33&gt;=CALENDARIO!$B$3,C33&lt;=CALENDARIO!$C$3),"FEVEREIRO",IF(AND(C33&gt;=CALENDARIO!$B$4,C33&lt;=CALENDARIO!$C$4),"MARÇO",IF(AND(C33&gt;=CALENDARIO!$B$5,C33&lt;=CALENDARIO!$C$5),"ABRIL",IF(AND(C33&gt;=CALENDARIO!$B$6,C33&lt;=CALENDARIO!$C$6),"MAIO",IF(AND(C33&gt;=CALENDARIO!$B$7,C33&lt;=CALENDARIO!$C$7),"JUNHO",IF(AND(C33&gt;=CALENDARIO!$B$8,C33&lt;=CALENDARIO!$C$8),"JULHO",IF(AND(C33&gt;=CALENDARIO!$B$9,C33&lt;=CALENDARIO!$C$9),"AGOSTO",IF(AND(C33&gt;=CALENDARIO!$B$10,C33&lt;=CALENDARIO!$C$10),"SETEMBRO",IF(AND(C33&gt;=CALENDARIO!$B$11,C33&lt;=CALENDARIO!$C$11),"OUTUBRO",IF(AND(C33&gt;=CALENDARIO!$B$12,C33&lt;=CALENDARIO!$C$12),"NOVEMBRO",IF(AND(C33&gt;=CALENDARIO!$B$13,C33&lt;=CALENDARIO!$C$13),"DEZEMBRO","-"))))))))))))</f>
        <v>-</v>
      </c>
      <c r="AM33" s="3" t="str">
        <f>RIGHT(LAN_OP[[#This Row],[OP/OS]],4)</f>
        <v/>
      </c>
    </row>
    <row r="34" spans="2:39" x14ac:dyDescent="0.3">
      <c r="B34" s="80"/>
      <c r="C34" s="140"/>
      <c r="G34"/>
      <c r="H34"/>
      <c r="I34" s="3"/>
      <c r="J34" s="3"/>
      <c r="K34" s="11" t="e">
        <f>LAN_OP[[#This Row],[VALOR FATURADO]]/LAN_OP[[#This Row],[VALOR CONTRATO]]</f>
        <v>#DIV/0!</v>
      </c>
      <c r="L34" s="4">
        <f>LAN_OP[[#This Row],[VALOR CONTRATO]]-LAN_OP[[#This Row],[VALOR FATURADO]]</f>
        <v>0</v>
      </c>
      <c r="M34" s="11" t="e">
        <v>#DIV/0!</v>
      </c>
      <c r="P34" s="11"/>
      <c r="Q34" s="141"/>
      <c r="R34" s="3"/>
      <c r="S34" s="4"/>
      <c r="T34" s="8" t="str">
        <f>IFERROR(VLOOKUP(LAN_OP[[#This Row],[OP/OS]],LANC_FAT!A:M,2,0),"-")</f>
        <v>-</v>
      </c>
      <c r="U34" s="9" t="str">
        <f>IFERROR(VLOOKUP(LAN_OP[[#This Row],[OP/OS]],LANC_FAT!A:M,8,0),"-")</f>
        <v>-</v>
      </c>
      <c r="V34" s="10">
        <f>SUMIF(LANC_FAT[OP/OS],LAN_OP[[#This Row],[OP/OS]],LANC_FAT[VALOR DA NF COM IMPOSTO])</f>
        <v>0</v>
      </c>
      <c r="W34" s="3"/>
      <c r="X34" s="10">
        <f>SUMIF(LANC_COMPRA[OP/OS],LAN_OP[[#This Row],[OP/OS]],LANC_COMPRA[[VALOR ]])</f>
        <v>0</v>
      </c>
      <c r="Y34" s="10">
        <f>SUMIF(LANC_HORAS[OP/OS],LAN_OP[[#This Row],[OP/OS]],LANC_HORAS[TOTAL GERAL NORMAL])</f>
        <v>0</v>
      </c>
      <c r="Z34" s="10">
        <f>SUMIF(LANC_HORAS[OP/OS],LAN_OP[[#This Row],[OP/OS]],LANC_HORAS[TOTAL GERAL EXTRAS])</f>
        <v>0</v>
      </c>
      <c r="AA34" s="12">
        <f>SUMIF(LANC_HORAS[OP/OS],LAN_OP[[#This Row],[OP/OS]],LANC_HORAS[TOTAL H.N])</f>
        <v>0</v>
      </c>
      <c r="AB34" s="12">
        <f>SUMIF(LANC_HORAS[OP/OS],LAN_OP[[#This Row],[OP/OS]],LANC_HORAS[TOTAL H.E])</f>
        <v>0</v>
      </c>
      <c r="AC34" s="10">
        <f>SUMIF(LANC_DESPESAS[OS/OP],LAN_OP[[#This Row],[OP/OS]],LANC_DESPESAS[OBSERVAÇÕES])</f>
        <v>0</v>
      </c>
      <c r="AD34" s="3">
        <f>SUMIF(LANC_DESLOC[OS/OP],LAN_OP[[#This Row],[OP/OS]],LANC_DESLOC[ANO])</f>
        <v>0</v>
      </c>
      <c r="AE3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4" s="3">
        <f>LAN_OP[[#This Row],[TOTAL PARCIAL (M.O+MT+DESP)]]*1.08</f>
        <v>0</v>
      </c>
      <c r="AG34" s="3">
        <f>LAN_OP[[#This Row],[TOTAL PARCIAL + OUTROS CUSTOS (8%)]]*1.09</f>
        <v>0</v>
      </c>
      <c r="AH34" t="str">
        <f>IF(AND(U34&gt;=CALENDARIO!$B$2,U34&lt;=CALENDARIO!$C$2),"JANEIRO",IF(AND(U34&gt;=CALENDARIO!$B$3,U34&lt;=CALENDARIO!$C$3),"FEVEREIRO",IF(AND(U34&gt;=CALENDARIO!$B$4,U34&lt;=CALENDARIO!$C$4),"MARÇO",IF(AND(U34&gt;=CALENDARIO!$B$5,U34&lt;=CALENDARIO!$C$5),"ABRIL",IF(AND(U34&gt;=CALENDARIO!$B$6,U34&lt;=CALENDARIO!$C$6),"MAIO",IF(AND(U34&gt;=CALENDARIO!$B$7,U34&lt;=CALENDARIO!$C$7),"JUNHO",IF(AND(U34&gt;=CALENDARIO!$B$8,U34&lt;=CALENDARIO!$C$8),"JULHO",IF(AND(U34&gt;=CALENDARIO!$B$9,U34&lt;=CALENDARIO!$C$9),"AGOSTO",IF(AND(U34&gt;=CALENDARIO!$B$10,U34&lt;=CALENDARIO!$C$10),"SETEMBRO",IF(AND(U34&gt;=CALENDARIO!$B$11,U34&lt;=CALENDARIO!$C$11),"OUTUBRO",IF(AND(U34&gt;=CALENDARIO!$B$12,U34&lt;=CALENDARIO!$C$12),"NOVEMBRO",IF(AND(U34&gt;=CALENDARIO!$B$13,U34&lt;=CALENDARIO!$C$13),"DEZEMBRO","-"))))))))))))</f>
        <v>-</v>
      </c>
      <c r="AI34" s="3">
        <f>LAN_OP[[#This Row],[VALOR CONTRATO]]-LAN_OP[[#This Row],[TOTAL CUSTO (O.C + DI + MT + MO+DESP)]]</f>
        <v>0</v>
      </c>
      <c r="AJ34" s="11" t="str">
        <f>IFERROR(LAN_OP[[#This Row],[R$ (CONTRATO - CUSTOS)]]/LAN_OP[[#This Row],[VALOR CONTRATO]],"")</f>
        <v/>
      </c>
      <c r="AK34" s="3">
        <f>LAN_OP[[#This Row],[VALOR CONTRATO]]-LAN_OP[[#This Row],[VALOR FATURADO]]</f>
        <v>0</v>
      </c>
      <c r="AL34" s="3" t="str">
        <f>IF(AND(C34&gt;=CALENDARIO!$B$2,C34&lt;=CALENDARIO!$C$2),"JANEIRO",IF(AND(C34&gt;=CALENDARIO!$B$3,C34&lt;=CALENDARIO!$C$3),"FEVEREIRO",IF(AND(C34&gt;=CALENDARIO!$B$4,C34&lt;=CALENDARIO!$C$4),"MARÇO",IF(AND(C34&gt;=CALENDARIO!$B$5,C34&lt;=CALENDARIO!$C$5),"ABRIL",IF(AND(C34&gt;=CALENDARIO!$B$6,C34&lt;=CALENDARIO!$C$6),"MAIO",IF(AND(C34&gt;=CALENDARIO!$B$7,C34&lt;=CALENDARIO!$C$7),"JUNHO",IF(AND(C34&gt;=CALENDARIO!$B$8,C34&lt;=CALENDARIO!$C$8),"JULHO",IF(AND(C34&gt;=CALENDARIO!$B$9,C34&lt;=CALENDARIO!$C$9),"AGOSTO",IF(AND(C34&gt;=CALENDARIO!$B$10,C34&lt;=CALENDARIO!$C$10),"SETEMBRO",IF(AND(C34&gt;=CALENDARIO!$B$11,C34&lt;=CALENDARIO!$C$11),"OUTUBRO",IF(AND(C34&gt;=CALENDARIO!$B$12,C34&lt;=CALENDARIO!$C$12),"NOVEMBRO",IF(AND(C34&gt;=CALENDARIO!$B$13,C34&lt;=CALENDARIO!$C$13),"DEZEMBRO","-"))))))))))))</f>
        <v>-</v>
      </c>
      <c r="AM34" s="3" t="str">
        <f>RIGHT(LAN_OP[[#This Row],[OP/OS]],4)</f>
        <v/>
      </c>
    </row>
    <row r="35" spans="2:39" x14ac:dyDescent="0.3">
      <c r="B35" s="80"/>
      <c r="C35" s="140"/>
      <c r="G35"/>
      <c r="H35"/>
      <c r="I35" s="3"/>
      <c r="J35" s="3"/>
      <c r="K35" s="11" t="e">
        <f>LAN_OP[[#This Row],[VALOR FATURADO]]/LAN_OP[[#This Row],[VALOR CONTRATO]]</f>
        <v>#DIV/0!</v>
      </c>
      <c r="L35" s="4">
        <f>LAN_OP[[#This Row],[VALOR CONTRATO]]-LAN_OP[[#This Row],[VALOR FATURADO]]</f>
        <v>0</v>
      </c>
      <c r="M35" s="11" t="e">
        <v>#DIV/0!</v>
      </c>
      <c r="P35" s="11"/>
      <c r="Q35" s="141"/>
      <c r="R35" s="3"/>
      <c r="S35" s="4"/>
      <c r="T35" s="8" t="str">
        <f>IFERROR(VLOOKUP(LAN_OP[[#This Row],[OP/OS]],LANC_FAT!A:M,2,0),"-")</f>
        <v>-</v>
      </c>
      <c r="U35" s="9" t="str">
        <f>IFERROR(VLOOKUP(LAN_OP[[#This Row],[OP/OS]],LANC_FAT!A:M,8,0),"-")</f>
        <v>-</v>
      </c>
      <c r="V35" s="10">
        <f>SUMIF(LANC_FAT[OP/OS],LAN_OP[[#This Row],[OP/OS]],LANC_FAT[VALOR DA NF COM IMPOSTO])</f>
        <v>0</v>
      </c>
      <c r="W35" s="3"/>
      <c r="X35" s="10">
        <f>SUMIF(LANC_COMPRA[OP/OS],LAN_OP[[#This Row],[OP/OS]],LANC_COMPRA[[VALOR ]])</f>
        <v>0</v>
      </c>
      <c r="Y35" s="10">
        <f>SUMIF(LANC_HORAS[OP/OS],LAN_OP[[#This Row],[OP/OS]],LANC_HORAS[TOTAL GERAL NORMAL])</f>
        <v>0</v>
      </c>
      <c r="Z35" s="10">
        <f>SUMIF(LANC_HORAS[OP/OS],LAN_OP[[#This Row],[OP/OS]],LANC_HORAS[TOTAL GERAL EXTRAS])</f>
        <v>0</v>
      </c>
      <c r="AA35" s="12">
        <f>SUMIF(LANC_HORAS[OP/OS],LAN_OP[[#This Row],[OP/OS]],LANC_HORAS[TOTAL H.N])</f>
        <v>0</v>
      </c>
      <c r="AB35" s="12">
        <f>SUMIF(LANC_HORAS[OP/OS],LAN_OP[[#This Row],[OP/OS]],LANC_HORAS[TOTAL H.E])</f>
        <v>0</v>
      </c>
      <c r="AC35" s="10">
        <f>SUMIF(LANC_DESPESAS[OS/OP],LAN_OP[[#This Row],[OP/OS]],LANC_DESPESAS[OBSERVAÇÕES])</f>
        <v>0</v>
      </c>
      <c r="AD35" s="3">
        <f>SUMIF(LANC_DESLOC[OS/OP],LAN_OP[[#This Row],[OP/OS]],LANC_DESLOC[ANO])</f>
        <v>0</v>
      </c>
      <c r="AE3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5" s="3">
        <f>LAN_OP[[#This Row],[TOTAL PARCIAL (M.O+MT+DESP)]]*1.08</f>
        <v>0</v>
      </c>
      <c r="AG35" s="3">
        <f>LAN_OP[[#This Row],[TOTAL PARCIAL + OUTROS CUSTOS (8%)]]*1.09</f>
        <v>0</v>
      </c>
      <c r="AH35" t="str">
        <f>IF(AND(U35&gt;=CALENDARIO!$B$2,U35&lt;=CALENDARIO!$C$2),"JANEIRO",IF(AND(U35&gt;=CALENDARIO!$B$3,U35&lt;=CALENDARIO!$C$3),"FEVEREIRO",IF(AND(U35&gt;=CALENDARIO!$B$4,U35&lt;=CALENDARIO!$C$4),"MARÇO",IF(AND(U35&gt;=CALENDARIO!$B$5,U35&lt;=CALENDARIO!$C$5),"ABRIL",IF(AND(U35&gt;=CALENDARIO!$B$6,U35&lt;=CALENDARIO!$C$6),"MAIO",IF(AND(U35&gt;=CALENDARIO!$B$7,U35&lt;=CALENDARIO!$C$7),"JUNHO",IF(AND(U35&gt;=CALENDARIO!$B$8,U35&lt;=CALENDARIO!$C$8),"JULHO",IF(AND(U35&gt;=CALENDARIO!$B$9,U35&lt;=CALENDARIO!$C$9),"AGOSTO",IF(AND(U35&gt;=CALENDARIO!$B$10,U35&lt;=CALENDARIO!$C$10),"SETEMBRO",IF(AND(U35&gt;=CALENDARIO!$B$11,U35&lt;=CALENDARIO!$C$11),"OUTUBRO",IF(AND(U35&gt;=CALENDARIO!$B$12,U35&lt;=CALENDARIO!$C$12),"NOVEMBRO",IF(AND(U35&gt;=CALENDARIO!$B$13,U35&lt;=CALENDARIO!$C$13),"DEZEMBRO","-"))))))))))))</f>
        <v>-</v>
      </c>
      <c r="AI35" s="3">
        <f>LAN_OP[[#This Row],[VALOR CONTRATO]]-LAN_OP[[#This Row],[TOTAL CUSTO (O.C + DI + MT + MO+DESP)]]</f>
        <v>0</v>
      </c>
      <c r="AJ35" s="11" t="str">
        <f>IFERROR(LAN_OP[[#This Row],[R$ (CONTRATO - CUSTOS)]]/LAN_OP[[#This Row],[VALOR CONTRATO]],"")</f>
        <v/>
      </c>
      <c r="AK35" s="3">
        <f>LAN_OP[[#This Row],[VALOR CONTRATO]]-LAN_OP[[#This Row],[VALOR FATURADO]]</f>
        <v>0</v>
      </c>
      <c r="AL35" s="3" t="str">
        <f>IF(AND(C35&gt;=CALENDARIO!$B$2,C35&lt;=CALENDARIO!$C$2),"JANEIRO",IF(AND(C35&gt;=CALENDARIO!$B$3,C35&lt;=CALENDARIO!$C$3),"FEVEREIRO",IF(AND(C35&gt;=CALENDARIO!$B$4,C35&lt;=CALENDARIO!$C$4),"MARÇO",IF(AND(C35&gt;=CALENDARIO!$B$5,C35&lt;=CALENDARIO!$C$5),"ABRIL",IF(AND(C35&gt;=CALENDARIO!$B$6,C35&lt;=CALENDARIO!$C$6),"MAIO",IF(AND(C35&gt;=CALENDARIO!$B$7,C35&lt;=CALENDARIO!$C$7),"JUNHO",IF(AND(C35&gt;=CALENDARIO!$B$8,C35&lt;=CALENDARIO!$C$8),"JULHO",IF(AND(C35&gt;=CALENDARIO!$B$9,C35&lt;=CALENDARIO!$C$9),"AGOSTO",IF(AND(C35&gt;=CALENDARIO!$B$10,C35&lt;=CALENDARIO!$C$10),"SETEMBRO",IF(AND(C35&gt;=CALENDARIO!$B$11,C35&lt;=CALENDARIO!$C$11),"OUTUBRO",IF(AND(C35&gt;=CALENDARIO!$B$12,C35&lt;=CALENDARIO!$C$12),"NOVEMBRO",IF(AND(C35&gt;=CALENDARIO!$B$13,C35&lt;=CALENDARIO!$C$13),"DEZEMBRO","-"))))))))))))</f>
        <v>-</v>
      </c>
      <c r="AM35" s="3" t="str">
        <f>RIGHT(LAN_OP[[#This Row],[OP/OS]],4)</f>
        <v/>
      </c>
    </row>
    <row r="36" spans="2:39" x14ac:dyDescent="0.3">
      <c r="B36" s="80"/>
      <c r="C36" s="140"/>
      <c r="G36"/>
      <c r="H36"/>
      <c r="I36" s="3"/>
      <c r="J36" s="3"/>
      <c r="K36" s="11" t="e">
        <f>LAN_OP[[#This Row],[VALOR FATURADO]]/LAN_OP[[#This Row],[VALOR CONTRATO]]</f>
        <v>#DIV/0!</v>
      </c>
      <c r="L36" s="4">
        <f>LAN_OP[[#This Row],[VALOR CONTRATO]]-LAN_OP[[#This Row],[VALOR FATURADO]]</f>
        <v>0</v>
      </c>
      <c r="M36" s="11" t="e">
        <v>#DIV/0!</v>
      </c>
      <c r="P36" s="11"/>
      <c r="Q36" s="141"/>
      <c r="R36" s="3"/>
      <c r="S36" s="4"/>
      <c r="T36" s="8" t="str">
        <f>IFERROR(VLOOKUP(LAN_OP[[#This Row],[OP/OS]],LANC_FAT!A:M,2,0),"-")</f>
        <v>-</v>
      </c>
      <c r="U36" s="9" t="str">
        <f>IFERROR(VLOOKUP(LAN_OP[[#This Row],[OP/OS]],LANC_FAT!A:M,8,0),"-")</f>
        <v>-</v>
      </c>
      <c r="V36" s="10">
        <f>SUMIF(LANC_FAT[OP/OS],LAN_OP[[#This Row],[OP/OS]],LANC_FAT[VALOR DA NF COM IMPOSTO])</f>
        <v>0</v>
      </c>
      <c r="W36" s="3"/>
      <c r="X36" s="10">
        <f>SUMIF(LANC_COMPRA[OP/OS],LAN_OP[[#This Row],[OP/OS]],LANC_COMPRA[[VALOR ]])</f>
        <v>0</v>
      </c>
      <c r="Y36" s="10">
        <f>SUMIF(LANC_HORAS[OP/OS],LAN_OP[[#This Row],[OP/OS]],LANC_HORAS[TOTAL GERAL NORMAL])</f>
        <v>0</v>
      </c>
      <c r="Z36" s="10">
        <f>SUMIF(LANC_HORAS[OP/OS],LAN_OP[[#This Row],[OP/OS]],LANC_HORAS[TOTAL GERAL EXTRAS])</f>
        <v>0</v>
      </c>
      <c r="AA36" s="12">
        <f>SUMIF(LANC_HORAS[OP/OS],LAN_OP[[#This Row],[OP/OS]],LANC_HORAS[TOTAL H.N])</f>
        <v>0</v>
      </c>
      <c r="AB36" s="12">
        <f>SUMIF(LANC_HORAS[OP/OS],LAN_OP[[#This Row],[OP/OS]],LANC_HORAS[TOTAL H.E])</f>
        <v>0</v>
      </c>
      <c r="AC36" s="10">
        <f>SUMIF(LANC_DESPESAS[OS/OP],LAN_OP[[#This Row],[OP/OS]],LANC_DESPESAS[OBSERVAÇÕES])</f>
        <v>0</v>
      </c>
      <c r="AD36" s="3">
        <f>SUMIF(LANC_DESLOC[OS/OP],LAN_OP[[#This Row],[OP/OS]],LANC_DESLOC[ANO])</f>
        <v>0</v>
      </c>
      <c r="AE3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6" s="3">
        <f>LAN_OP[[#This Row],[TOTAL PARCIAL (M.O+MT+DESP)]]*1.08</f>
        <v>0</v>
      </c>
      <c r="AG36" s="3">
        <f>LAN_OP[[#This Row],[TOTAL PARCIAL + OUTROS CUSTOS (8%)]]*1.09</f>
        <v>0</v>
      </c>
      <c r="AH36" t="str">
        <f>IF(AND(U36&gt;=CALENDARIO!$B$2,U36&lt;=CALENDARIO!$C$2),"JANEIRO",IF(AND(U36&gt;=CALENDARIO!$B$3,U36&lt;=CALENDARIO!$C$3),"FEVEREIRO",IF(AND(U36&gt;=CALENDARIO!$B$4,U36&lt;=CALENDARIO!$C$4),"MARÇO",IF(AND(U36&gt;=CALENDARIO!$B$5,U36&lt;=CALENDARIO!$C$5),"ABRIL",IF(AND(U36&gt;=CALENDARIO!$B$6,U36&lt;=CALENDARIO!$C$6),"MAIO",IF(AND(U36&gt;=CALENDARIO!$B$7,U36&lt;=CALENDARIO!$C$7),"JUNHO",IF(AND(U36&gt;=CALENDARIO!$B$8,U36&lt;=CALENDARIO!$C$8),"JULHO",IF(AND(U36&gt;=CALENDARIO!$B$9,U36&lt;=CALENDARIO!$C$9),"AGOSTO",IF(AND(U36&gt;=CALENDARIO!$B$10,U36&lt;=CALENDARIO!$C$10),"SETEMBRO",IF(AND(U36&gt;=CALENDARIO!$B$11,U36&lt;=CALENDARIO!$C$11),"OUTUBRO",IF(AND(U36&gt;=CALENDARIO!$B$12,U36&lt;=CALENDARIO!$C$12),"NOVEMBRO",IF(AND(U36&gt;=CALENDARIO!$B$13,U36&lt;=CALENDARIO!$C$13),"DEZEMBRO","-"))))))))))))</f>
        <v>-</v>
      </c>
      <c r="AI36" s="3">
        <f>LAN_OP[[#This Row],[VALOR CONTRATO]]-LAN_OP[[#This Row],[TOTAL CUSTO (O.C + DI + MT + MO+DESP)]]</f>
        <v>0</v>
      </c>
      <c r="AJ36" s="11" t="str">
        <f>IFERROR(LAN_OP[[#This Row],[R$ (CONTRATO - CUSTOS)]]/LAN_OP[[#This Row],[VALOR CONTRATO]],"")</f>
        <v/>
      </c>
      <c r="AK36" s="3">
        <f>LAN_OP[[#This Row],[VALOR CONTRATO]]-LAN_OP[[#This Row],[VALOR FATURADO]]</f>
        <v>0</v>
      </c>
      <c r="AL36" s="3" t="str">
        <f>IF(AND(C36&gt;=CALENDARIO!$B$2,C36&lt;=CALENDARIO!$C$2),"JANEIRO",IF(AND(C36&gt;=CALENDARIO!$B$3,C36&lt;=CALENDARIO!$C$3),"FEVEREIRO",IF(AND(C36&gt;=CALENDARIO!$B$4,C36&lt;=CALENDARIO!$C$4),"MARÇO",IF(AND(C36&gt;=CALENDARIO!$B$5,C36&lt;=CALENDARIO!$C$5),"ABRIL",IF(AND(C36&gt;=CALENDARIO!$B$6,C36&lt;=CALENDARIO!$C$6),"MAIO",IF(AND(C36&gt;=CALENDARIO!$B$7,C36&lt;=CALENDARIO!$C$7),"JUNHO",IF(AND(C36&gt;=CALENDARIO!$B$8,C36&lt;=CALENDARIO!$C$8),"JULHO",IF(AND(C36&gt;=CALENDARIO!$B$9,C36&lt;=CALENDARIO!$C$9),"AGOSTO",IF(AND(C36&gt;=CALENDARIO!$B$10,C36&lt;=CALENDARIO!$C$10),"SETEMBRO",IF(AND(C36&gt;=CALENDARIO!$B$11,C36&lt;=CALENDARIO!$C$11),"OUTUBRO",IF(AND(C36&gt;=CALENDARIO!$B$12,C36&lt;=CALENDARIO!$C$12),"NOVEMBRO",IF(AND(C36&gt;=CALENDARIO!$B$13,C36&lt;=CALENDARIO!$C$13),"DEZEMBRO","-"))))))))))))</f>
        <v>-</v>
      </c>
      <c r="AM36" s="3" t="str">
        <f>RIGHT(LAN_OP[[#This Row],[OP/OS]],4)</f>
        <v/>
      </c>
    </row>
    <row r="37" spans="2:39" x14ac:dyDescent="0.3">
      <c r="B37" s="80"/>
      <c r="C37" s="140"/>
      <c r="G37"/>
      <c r="H37"/>
      <c r="I37" s="3"/>
      <c r="J37" s="3"/>
      <c r="K37" s="11" t="e">
        <f>LAN_OP[[#This Row],[VALOR FATURADO]]/LAN_OP[[#This Row],[VALOR CONTRATO]]</f>
        <v>#DIV/0!</v>
      </c>
      <c r="L37" s="4">
        <f>LAN_OP[[#This Row],[VALOR CONTRATO]]-LAN_OP[[#This Row],[VALOR FATURADO]]</f>
        <v>0</v>
      </c>
      <c r="M37" s="11" t="e">
        <v>#DIV/0!</v>
      </c>
      <c r="P37" s="11"/>
      <c r="Q37" s="141"/>
      <c r="R37" s="3"/>
      <c r="S37" s="4"/>
      <c r="T37" s="8" t="str">
        <f>IFERROR(VLOOKUP(LAN_OP[[#This Row],[OP/OS]],LANC_FAT!A:M,2,0),"-")</f>
        <v>-</v>
      </c>
      <c r="U37" s="9" t="str">
        <f>IFERROR(VLOOKUP(LAN_OP[[#This Row],[OP/OS]],LANC_FAT!A:M,8,0),"-")</f>
        <v>-</v>
      </c>
      <c r="V37" s="10">
        <f>SUMIF(LANC_FAT[OP/OS],LAN_OP[[#This Row],[OP/OS]],LANC_FAT[VALOR DA NF COM IMPOSTO])</f>
        <v>0</v>
      </c>
      <c r="W37" s="3"/>
      <c r="X37" s="10">
        <f>SUMIF(LANC_COMPRA[OP/OS],LAN_OP[[#This Row],[OP/OS]],LANC_COMPRA[[VALOR ]])</f>
        <v>0</v>
      </c>
      <c r="Y37" s="10">
        <f>SUMIF(LANC_HORAS[OP/OS],LAN_OP[[#This Row],[OP/OS]],LANC_HORAS[TOTAL GERAL NORMAL])</f>
        <v>0</v>
      </c>
      <c r="Z37" s="10">
        <f>SUMIF(LANC_HORAS[OP/OS],LAN_OP[[#This Row],[OP/OS]],LANC_HORAS[TOTAL GERAL EXTRAS])</f>
        <v>0</v>
      </c>
      <c r="AA37" s="12">
        <f>SUMIF(LANC_HORAS[OP/OS],LAN_OP[[#This Row],[OP/OS]],LANC_HORAS[TOTAL H.N])</f>
        <v>0</v>
      </c>
      <c r="AB37" s="12">
        <f>SUMIF(LANC_HORAS[OP/OS],LAN_OP[[#This Row],[OP/OS]],LANC_HORAS[TOTAL H.E])</f>
        <v>0</v>
      </c>
      <c r="AC37" s="10">
        <f>SUMIF(LANC_DESPESAS[OS/OP],LAN_OP[[#This Row],[OP/OS]],LANC_DESPESAS[OBSERVAÇÕES])</f>
        <v>0</v>
      </c>
      <c r="AD37" s="3">
        <f>SUMIF(LANC_DESLOC[OS/OP],LAN_OP[[#This Row],[OP/OS]],LANC_DESLOC[ANO])</f>
        <v>0</v>
      </c>
      <c r="AE3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7" s="3">
        <f>LAN_OP[[#This Row],[TOTAL PARCIAL (M.O+MT+DESP)]]*1.08</f>
        <v>0</v>
      </c>
      <c r="AG37" s="3">
        <f>LAN_OP[[#This Row],[TOTAL PARCIAL + OUTROS CUSTOS (8%)]]*1.09</f>
        <v>0</v>
      </c>
      <c r="AH37" t="str">
        <f>IF(AND(U37&gt;=CALENDARIO!$B$2,U37&lt;=CALENDARIO!$C$2),"JANEIRO",IF(AND(U37&gt;=CALENDARIO!$B$3,U37&lt;=CALENDARIO!$C$3),"FEVEREIRO",IF(AND(U37&gt;=CALENDARIO!$B$4,U37&lt;=CALENDARIO!$C$4),"MARÇO",IF(AND(U37&gt;=CALENDARIO!$B$5,U37&lt;=CALENDARIO!$C$5),"ABRIL",IF(AND(U37&gt;=CALENDARIO!$B$6,U37&lt;=CALENDARIO!$C$6),"MAIO",IF(AND(U37&gt;=CALENDARIO!$B$7,U37&lt;=CALENDARIO!$C$7),"JUNHO",IF(AND(U37&gt;=CALENDARIO!$B$8,U37&lt;=CALENDARIO!$C$8),"JULHO",IF(AND(U37&gt;=CALENDARIO!$B$9,U37&lt;=CALENDARIO!$C$9),"AGOSTO",IF(AND(U37&gt;=CALENDARIO!$B$10,U37&lt;=CALENDARIO!$C$10),"SETEMBRO",IF(AND(U37&gt;=CALENDARIO!$B$11,U37&lt;=CALENDARIO!$C$11),"OUTUBRO",IF(AND(U37&gt;=CALENDARIO!$B$12,U37&lt;=CALENDARIO!$C$12),"NOVEMBRO",IF(AND(U37&gt;=CALENDARIO!$B$13,U37&lt;=CALENDARIO!$C$13),"DEZEMBRO","-"))))))))))))</f>
        <v>-</v>
      </c>
      <c r="AI37" s="3">
        <f>LAN_OP[[#This Row],[VALOR CONTRATO]]-LAN_OP[[#This Row],[TOTAL CUSTO (O.C + DI + MT + MO+DESP)]]</f>
        <v>0</v>
      </c>
      <c r="AJ37" s="11" t="str">
        <f>IFERROR(LAN_OP[[#This Row],[R$ (CONTRATO - CUSTOS)]]/LAN_OP[[#This Row],[VALOR CONTRATO]],"")</f>
        <v/>
      </c>
      <c r="AK37" s="3">
        <f>LAN_OP[[#This Row],[VALOR CONTRATO]]-LAN_OP[[#This Row],[VALOR FATURADO]]</f>
        <v>0</v>
      </c>
      <c r="AL37" s="3" t="str">
        <f>IF(AND(C37&gt;=CALENDARIO!$B$2,C37&lt;=CALENDARIO!$C$2),"JANEIRO",IF(AND(C37&gt;=CALENDARIO!$B$3,C37&lt;=CALENDARIO!$C$3),"FEVEREIRO",IF(AND(C37&gt;=CALENDARIO!$B$4,C37&lt;=CALENDARIO!$C$4),"MARÇO",IF(AND(C37&gt;=CALENDARIO!$B$5,C37&lt;=CALENDARIO!$C$5),"ABRIL",IF(AND(C37&gt;=CALENDARIO!$B$6,C37&lt;=CALENDARIO!$C$6),"MAIO",IF(AND(C37&gt;=CALENDARIO!$B$7,C37&lt;=CALENDARIO!$C$7),"JUNHO",IF(AND(C37&gt;=CALENDARIO!$B$8,C37&lt;=CALENDARIO!$C$8),"JULHO",IF(AND(C37&gt;=CALENDARIO!$B$9,C37&lt;=CALENDARIO!$C$9),"AGOSTO",IF(AND(C37&gt;=CALENDARIO!$B$10,C37&lt;=CALENDARIO!$C$10),"SETEMBRO",IF(AND(C37&gt;=CALENDARIO!$B$11,C37&lt;=CALENDARIO!$C$11),"OUTUBRO",IF(AND(C37&gt;=CALENDARIO!$B$12,C37&lt;=CALENDARIO!$C$12),"NOVEMBRO",IF(AND(C37&gt;=CALENDARIO!$B$13,C37&lt;=CALENDARIO!$C$13),"DEZEMBRO","-"))))))))))))</f>
        <v>-</v>
      </c>
      <c r="AM37" s="3" t="str">
        <f>RIGHT(LAN_OP[[#This Row],[OP/OS]],4)</f>
        <v/>
      </c>
    </row>
    <row r="38" spans="2:39" x14ac:dyDescent="0.3">
      <c r="B38" s="80"/>
      <c r="C38" s="140"/>
      <c r="G38"/>
      <c r="H38"/>
      <c r="I38" s="3"/>
      <c r="J38" s="3"/>
      <c r="K38" s="11" t="e">
        <f>LAN_OP[[#This Row],[VALOR FATURADO]]/LAN_OP[[#This Row],[VALOR CONTRATO]]</f>
        <v>#DIV/0!</v>
      </c>
      <c r="L38" s="4">
        <f>LAN_OP[[#This Row],[VALOR CONTRATO]]-LAN_OP[[#This Row],[VALOR FATURADO]]</f>
        <v>0</v>
      </c>
      <c r="M38" s="11" t="e">
        <v>#DIV/0!</v>
      </c>
      <c r="P38" s="11"/>
      <c r="Q38" s="141"/>
      <c r="R38" s="3"/>
      <c r="S38" s="4"/>
      <c r="T38" s="8" t="str">
        <f>IFERROR(VLOOKUP(LAN_OP[[#This Row],[OP/OS]],LANC_FAT!A:M,2,0),"-")</f>
        <v>-</v>
      </c>
      <c r="U38" s="9" t="str">
        <f>IFERROR(VLOOKUP(LAN_OP[[#This Row],[OP/OS]],LANC_FAT!A:M,8,0),"-")</f>
        <v>-</v>
      </c>
      <c r="V38" s="10">
        <f>SUMIF(LANC_FAT[OP/OS],LAN_OP[[#This Row],[OP/OS]],LANC_FAT[VALOR DA NF COM IMPOSTO])</f>
        <v>0</v>
      </c>
      <c r="W38" s="3"/>
      <c r="X38" s="10">
        <f>SUMIF(LANC_COMPRA[OP/OS],LAN_OP[[#This Row],[OP/OS]],LANC_COMPRA[[VALOR ]])</f>
        <v>0</v>
      </c>
      <c r="Y38" s="10">
        <f>SUMIF(LANC_HORAS[OP/OS],LAN_OP[[#This Row],[OP/OS]],LANC_HORAS[TOTAL GERAL NORMAL])</f>
        <v>0</v>
      </c>
      <c r="Z38" s="10">
        <f>SUMIF(LANC_HORAS[OP/OS],LAN_OP[[#This Row],[OP/OS]],LANC_HORAS[TOTAL GERAL EXTRAS])</f>
        <v>0</v>
      </c>
      <c r="AA38" s="12">
        <f>SUMIF(LANC_HORAS[OP/OS],LAN_OP[[#This Row],[OP/OS]],LANC_HORAS[TOTAL H.N])</f>
        <v>0</v>
      </c>
      <c r="AB38" s="12">
        <f>SUMIF(LANC_HORAS[OP/OS],LAN_OP[[#This Row],[OP/OS]],LANC_HORAS[TOTAL H.E])</f>
        <v>0</v>
      </c>
      <c r="AC38" s="10">
        <f>SUMIF(LANC_DESPESAS[OS/OP],LAN_OP[[#This Row],[OP/OS]],LANC_DESPESAS[OBSERVAÇÕES])</f>
        <v>0</v>
      </c>
      <c r="AD38" s="3">
        <f>SUMIF(LANC_DESLOC[OS/OP],LAN_OP[[#This Row],[OP/OS]],LANC_DESLOC[ANO])</f>
        <v>0</v>
      </c>
      <c r="AE3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8" s="3">
        <f>LAN_OP[[#This Row],[TOTAL PARCIAL (M.O+MT+DESP)]]*1.08</f>
        <v>0</v>
      </c>
      <c r="AG38" s="3">
        <f>LAN_OP[[#This Row],[TOTAL PARCIAL + OUTROS CUSTOS (8%)]]*1.09</f>
        <v>0</v>
      </c>
      <c r="AH38" t="str">
        <f>IF(AND(U38&gt;=CALENDARIO!$B$2,U38&lt;=CALENDARIO!$C$2),"JANEIRO",IF(AND(U38&gt;=CALENDARIO!$B$3,U38&lt;=CALENDARIO!$C$3),"FEVEREIRO",IF(AND(U38&gt;=CALENDARIO!$B$4,U38&lt;=CALENDARIO!$C$4),"MARÇO",IF(AND(U38&gt;=CALENDARIO!$B$5,U38&lt;=CALENDARIO!$C$5),"ABRIL",IF(AND(U38&gt;=CALENDARIO!$B$6,U38&lt;=CALENDARIO!$C$6),"MAIO",IF(AND(U38&gt;=CALENDARIO!$B$7,U38&lt;=CALENDARIO!$C$7),"JUNHO",IF(AND(U38&gt;=CALENDARIO!$B$8,U38&lt;=CALENDARIO!$C$8),"JULHO",IF(AND(U38&gt;=CALENDARIO!$B$9,U38&lt;=CALENDARIO!$C$9),"AGOSTO",IF(AND(U38&gt;=CALENDARIO!$B$10,U38&lt;=CALENDARIO!$C$10),"SETEMBRO",IF(AND(U38&gt;=CALENDARIO!$B$11,U38&lt;=CALENDARIO!$C$11),"OUTUBRO",IF(AND(U38&gt;=CALENDARIO!$B$12,U38&lt;=CALENDARIO!$C$12),"NOVEMBRO",IF(AND(U38&gt;=CALENDARIO!$B$13,U38&lt;=CALENDARIO!$C$13),"DEZEMBRO","-"))))))))))))</f>
        <v>-</v>
      </c>
      <c r="AI38" s="3">
        <f>LAN_OP[[#This Row],[VALOR CONTRATO]]-LAN_OP[[#This Row],[TOTAL CUSTO (O.C + DI + MT + MO+DESP)]]</f>
        <v>0</v>
      </c>
      <c r="AJ38" s="11" t="str">
        <f>IFERROR(LAN_OP[[#This Row],[R$ (CONTRATO - CUSTOS)]]/LAN_OP[[#This Row],[VALOR CONTRATO]],"")</f>
        <v/>
      </c>
      <c r="AK38" s="3">
        <f>LAN_OP[[#This Row],[VALOR CONTRATO]]-LAN_OP[[#This Row],[VALOR FATURADO]]</f>
        <v>0</v>
      </c>
      <c r="AL38" s="3" t="str">
        <f>IF(AND(C38&gt;=CALENDARIO!$B$2,C38&lt;=CALENDARIO!$C$2),"JANEIRO",IF(AND(C38&gt;=CALENDARIO!$B$3,C38&lt;=CALENDARIO!$C$3),"FEVEREIRO",IF(AND(C38&gt;=CALENDARIO!$B$4,C38&lt;=CALENDARIO!$C$4),"MARÇO",IF(AND(C38&gt;=CALENDARIO!$B$5,C38&lt;=CALENDARIO!$C$5),"ABRIL",IF(AND(C38&gt;=CALENDARIO!$B$6,C38&lt;=CALENDARIO!$C$6),"MAIO",IF(AND(C38&gt;=CALENDARIO!$B$7,C38&lt;=CALENDARIO!$C$7),"JUNHO",IF(AND(C38&gt;=CALENDARIO!$B$8,C38&lt;=CALENDARIO!$C$8),"JULHO",IF(AND(C38&gt;=CALENDARIO!$B$9,C38&lt;=CALENDARIO!$C$9),"AGOSTO",IF(AND(C38&gt;=CALENDARIO!$B$10,C38&lt;=CALENDARIO!$C$10),"SETEMBRO",IF(AND(C38&gt;=CALENDARIO!$B$11,C38&lt;=CALENDARIO!$C$11),"OUTUBRO",IF(AND(C38&gt;=CALENDARIO!$B$12,C38&lt;=CALENDARIO!$C$12),"NOVEMBRO",IF(AND(C38&gt;=CALENDARIO!$B$13,C38&lt;=CALENDARIO!$C$13),"DEZEMBRO","-"))))))))))))</f>
        <v>-</v>
      </c>
      <c r="AM38" s="3" t="str">
        <f>RIGHT(LAN_OP[[#This Row],[OP/OS]],4)</f>
        <v/>
      </c>
    </row>
    <row r="39" spans="2:39" x14ac:dyDescent="0.3">
      <c r="B39" s="80"/>
      <c r="C39" s="140"/>
      <c r="G39"/>
      <c r="H39"/>
      <c r="I39" s="3"/>
      <c r="J39" s="3"/>
      <c r="K39" s="11" t="e">
        <f>LAN_OP[[#This Row],[VALOR FATURADO]]/LAN_OP[[#This Row],[VALOR CONTRATO]]</f>
        <v>#DIV/0!</v>
      </c>
      <c r="L39" s="4">
        <f>LAN_OP[[#This Row],[VALOR CONTRATO]]-LAN_OP[[#This Row],[VALOR FATURADO]]</f>
        <v>0</v>
      </c>
      <c r="M39" s="11" t="e">
        <v>#DIV/0!</v>
      </c>
      <c r="P39" s="11"/>
      <c r="Q39" s="141"/>
      <c r="R39" s="3"/>
      <c r="S39" s="4"/>
      <c r="T39" s="8" t="str">
        <f>IFERROR(VLOOKUP(LAN_OP[[#This Row],[OP/OS]],LANC_FAT!A:M,2,0),"-")</f>
        <v>-</v>
      </c>
      <c r="U39" s="9" t="str">
        <f>IFERROR(VLOOKUP(LAN_OP[[#This Row],[OP/OS]],LANC_FAT!A:M,8,0),"-")</f>
        <v>-</v>
      </c>
      <c r="V39" s="10">
        <f>SUMIF(LANC_FAT[OP/OS],LAN_OP[[#This Row],[OP/OS]],LANC_FAT[VALOR DA NF COM IMPOSTO])</f>
        <v>0</v>
      </c>
      <c r="W39" s="3"/>
      <c r="X39" s="10">
        <f>SUMIF(LANC_COMPRA[OP/OS],LAN_OP[[#This Row],[OP/OS]],LANC_COMPRA[[VALOR ]])</f>
        <v>0</v>
      </c>
      <c r="Y39" s="10">
        <f>SUMIF(LANC_HORAS[OP/OS],LAN_OP[[#This Row],[OP/OS]],LANC_HORAS[TOTAL GERAL NORMAL])</f>
        <v>0</v>
      </c>
      <c r="Z39" s="10">
        <f>SUMIF(LANC_HORAS[OP/OS],LAN_OP[[#This Row],[OP/OS]],LANC_HORAS[TOTAL GERAL EXTRAS])</f>
        <v>0</v>
      </c>
      <c r="AA39" s="12">
        <f>SUMIF(LANC_HORAS[OP/OS],LAN_OP[[#This Row],[OP/OS]],LANC_HORAS[TOTAL H.N])</f>
        <v>0</v>
      </c>
      <c r="AB39" s="12">
        <f>SUMIF(LANC_HORAS[OP/OS],LAN_OP[[#This Row],[OP/OS]],LANC_HORAS[TOTAL H.E])</f>
        <v>0</v>
      </c>
      <c r="AC39" s="10">
        <f>SUMIF(LANC_DESPESAS[OS/OP],LAN_OP[[#This Row],[OP/OS]],LANC_DESPESAS[OBSERVAÇÕES])</f>
        <v>0</v>
      </c>
      <c r="AD39" s="3">
        <f>SUMIF(LANC_DESLOC[OS/OP],LAN_OP[[#This Row],[OP/OS]],LANC_DESLOC[ANO])</f>
        <v>0</v>
      </c>
      <c r="AE3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39" s="3">
        <f>LAN_OP[[#This Row],[TOTAL PARCIAL (M.O+MT+DESP)]]*1.08</f>
        <v>0</v>
      </c>
      <c r="AG39" s="3">
        <f>LAN_OP[[#This Row],[TOTAL PARCIAL + OUTROS CUSTOS (8%)]]*1.09</f>
        <v>0</v>
      </c>
      <c r="AH39" t="str">
        <f>IF(AND(U39&gt;=CALENDARIO!$B$2,U39&lt;=CALENDARIO!$C$2),"JANEIRO",IF(AND(U39&gt;=CALENDARIO!$B$3,U39&lt;=CALENDARIO!$C$3),"FEVEREIRO",IF(AND(U39&gt;=CALENDARIO!$B$4,U39&lt;=CALENDARIO!$C$4),"MARÇO",IF(AND(U39&gt;=CALENDARIO!$B$5,U39&lt;=CALENDARIO!$C$5),"ABRIL",IF(AND(U39&gt;=CALENDARIO!$B$6,U39&lt;=CALENDARIO!$C$6),"MAIO",IF(AND(U39&gt;=CALENDARIO!$B$7,U39&lt;=CALENDARIO!$C$7),"JUNHO",IF(AND(U39&gt;=CALENDARIO!$B$8,U39&lt;=CALENDARIO!$C$8),"JULHO",IF(AND(U39&gt;=CALENDARIO!$B$9,U39&lt;=CALENDARIO!$C$9),"AGOSTO",IF(AND(U39&gt;=CALENDARIO!$B$10,U39&lt;=CALENDARIO!$C$10),"SETEMBRO",IF(AND(U39&gt;=CALENDARIO!$B$11,U39&lt;=CALENDARIO!$C$11),"OUTUBRO",IF(AND(U39&gt;=CALENDARIO!$B$12,U39&lt;=CALENDARIO!$C$12),"NOVEMBRO",IF(AND(U39&gt;=CALENDARIO!$B$13,U39&lt;=CALENDARIO!$C$13),"DEZEMBRO","-"))))))))))))</f>
        <v>-</v>
      </c>
      <c r="AI39" s="3">
        <f>LAN_OP[[#This Row],[VALOR CONTRATO]]-LAN_OP[[#This Row],[TOTAL CUSTO (O.C + DI + MT + MO+DESP)]]</f>
        <v>0</v>
      </c>
      <c r="AJ39" s="11" t="str">
        <f>IFERROR(LAN_OP[[#This Row],[R$ (CONTRATO - CUSTOS)]]/LAN_OP[[#This Row],[VALOR CONTRATO]],"")</f>
        <v/>
      </c>
      <c r="AK39" s="3">
        <f>LAN_OP[[#This Row],[VALOR CONTRATO]]-LAN_OP[[#This Row],[VALOR FATURADO]]</f>
        <v>0</v>
      </c>
      <c r="AL39" s="3" t="str">
        <f>IF(AND(C39&gt;=CALENDARIO!$B$2,C39&lt;=CALENDARIO!$C$2),"JANEIRO",IF(AND(C39&gt;=CALENDARIO!$B$3,C39&lt;=CALENDARIO!$C$3),"FEVEREIRO",IF(AND(C39&gt;=CALENDARIO!$B$4,C39&lt;=CALENDARIO!$C$4),"MARÇO",IF(AND(C39&gt;=CALENDARIO!$B$5,C39&lt;=CALENDARIO!$C$5),"ABRIL",IF(AND(C39&gt;=CALENDARIO!$B$6,C39&lt;=CALENDARIO!$C$6),"MAIO",IF(AND(C39&gt;=CALENDARIO!$B$7,C39&lt;=CALENDARIO!$C$7),"JUNHO",IF(AND(C39&gt;=CALENDARIO!$B$8,C39&lt;=CALENDARIO!$C$8),"JULHO",IF(AND(C39&gt;=CALENDARIO!$B$9,C39&lt;=CALENDARIO!$C$9),"AGOSTO",IF(AND(C39&gt;=CALENDARIO!$B$10,C39&lt;=CALENDARIO!$C$10),"SETEMBRO",IF(AND(C39&gt;=CALENDARIO!$B$11,C39&lt;=CALENDARIO!$C$11),"OUTUBRO",IF(AND(C39&gt;=CALENDARIO!$B$12,C39&lt;=CALENDARIO!$C$12),"NOVEMBRO",IF(AND(C39&gt;=CALENDARIO!$B$13,C39&lt;=CALENDARIO!$C$13),"DEZEMBRO","-"))))))))))))</f>
        <v>-</v>
      </c>
      <c r="AM39" s="3" t="str">
        <f>RIGHT(LAN_OP[[#This Row],[OP/OS]],4)</f>
        <v/>
      </c>
    </row>
    <row r="40" spans="2:39" x14ac:dyDescent="0.3">
      <c r="B40" s="80"/>
      <c r="C40" s="140"/>
      <c r="G40"/>
      <c r="H40"/>
      <c r="I40" s="3"/>
      <c r="J40" s="3"/>
      <c r="K40" s="11" t="e">
        <f>LAN_OP[[#This Row],[VALOR FATURADO]]/LAN_OP[[#This Row],[VALOR CONTRATO]]</f>
        <v>#DIV/0!</v>
      </c>
      <c r="L40" s="4">
        <f>LAN_OP[[#This Row],[VALOR CONTRATO]]-LAN_OP[[#This Row],[VALOR FATURADO]]</f>
        <v>0</v>
      </c>
      <c r="M40" s="11" t="e">
        <v>#DIV/0!</v>
      </c>
      <c r="P40" s="11"/>
      <c r="Q40" s="141"/>
      <c r="R40" s="3"/>
      <c r="S40" s="4"/>
      <c r="T40" s="8" t="str">
        <f>IFERROR(VLOOKUP(LAN_OP[[#This Row],[OP/OS]],LANC_FAT!A:M,2,0),"-")</f>
        <v>-</v>
      </c>
      <c r="U40" s="9" t="str">
        <f>IFERROR(VLOOKUP(LAN_OP[[#This Row],[OP/OS]],LANC_FAT!A:M,8,0),"-")</f>
        <v>-</v>
      </c>
      <c r="V40" s="10">
        <f>SUMIF(LANC_FAT[OP/OS],LAN_OP[[#This Row],[OP/OS]],LANC_FAT[VALOR DA NF COM IMPOSTO])</f>
        <v>0</v>
      </c>
      <c r="W40" s="3"/>
      <c r="X40" s="10">
        <f>SUMIF(LANC_COMPRA[OP/OS],LAN_OP[[#This Row],[OP/OS]],LANC_COMPRA[[VALOR ]])</f>
        <v>0</v>
      </c>
      <c r="Y40" s="10">
        <f>SUMIF(LANC_HORAS[OP/OS],LAN_OP[[#This Row],[OP/OS]],LANC_HORAS[TOTAL GERAL NORMAL])</f>
        <v>0</v>
      </c>
      <c r="Z40" s="10">
        <f>SUMIF(LANC_HORAS[OP/OS],LAN_OP[[#This Row],[OP/OS]],LANC_HORAS[TOTAL GERAL EXTRAS])</f>
        <v>0</v>
      </c>
      <c r="AA40" s="12">
        <f>SUMIF(LANC_HORAS[OP/OS],LAN_OP[[#This Row],[OP/OS]],LANC_HORAS[TOTAL H.N])</f>
        <v>0</v>
      </c>
      <c r="AB40" s="12">
        <f>SUMIF(LANC_HORAS[OP/OS],LAN_OP[[#This Row],[OP/OS]],LANC_HORAS[TOTAL H.E])</f>
        <v>0</v>
      </c>
      <c r="AC40" s="10">
        <f>SUMIF(LANC_DESPESAS[OS/OP],LAN_OP[[#This Row],[OP/OS]],LANC_DESPESAS[OBSERVAÇÕES])</f>
        <v>0</v>
      </c>
      <c r="AD40" s="3">
        <f>SUMIF(LANC_DESLOC[OS/OP],LAN_OP[[#This Row],[OP/OS]],LANC_DESLOC[ANO])</f>
        <v>0</v>
      </c>
      <c r="AE4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0" s="3">
        <f>LAN_OP[[#This Row],[TOTAL PARCIAL (M.O+MT+DESP)]]*1.08</f>
        <v>0</v>
      </c>
      <c r="AG40" s="3">
        <f>LAN_OP[[#This Row],[TOTAL PARCIAL + OUTROS CUSTOS (8%)]]*1.09</f>
        <v>0</v>
      </c>
      <c r="AH40" t="str">
        <f>IF(AND(U40&gt;=CALENDARIO!$B$2,U40&lt;=CALENDARIO!$C$2),"JANEIRO",IF(AND(U40&gt;=CALENDARIO!$B$3,U40&lt;=CALENDARIO!$C$3),"FEVEREIRO",IF(AND(U40&gt;=CALENDARIO!$B$4,U40&lt;=CALENDARIO!$C$4),"MARÇO",IF(AND(U40&gt;=CALENDARIO!$B$5,U40&lt;=CALENDARIO!$C$5),"ABRIL",IF(AND(U40&gt;=CALENDARIO!$B$6,U40&lt;=CALENDARIO!$C$6),"MAIO",IF(AND(U40&gt;=CALENDARIO!$B$7,U40&lt;=CALENDARIO!$C$7),"JUNHO",IF(AND(U40&gt;=CALENDARIO!$B$8,U40&lt;=CALENDARIO!$C$8),"JULHO",IF(AND(U40&gt;=CALENDARIO!$B$9,U40&lt;=CALENDARIO!$C$9),"AGOSTO",IF(AND(U40&gt;=CALENDARIO!$B$10,U40&lt;=CALENDARIO!$C$10),"SETEMBRO",IF(AND(U40&gt;=CALENDARIO!$B$11,U40&lt;=CALENDARIO!$C$11),"OUTUBRO",IF(AND(U40&gt;=CALENDARIO!$B$12,U40&lt;=CALENDARIO!$C$12),"NOVEMBRO",IF(AND(U40&gt;=CALENDARIO!$B$13,U40&lt;=CALENDARIO!$C$13),"DEZEMBRO","-"))))))))))))</f>
        <v>-</v>
      </c>
      <c r="AI40" s="3">
        <f>LAN_OP[[#This Row],[VALOR CONTRATO]]-LAN_OP[[#This Row],[TOTAL CUSTO (O.C + DI + MT + MO+DESP)]]</f>
        <v>0</v>
      </c>
      <c r="AJ40" s="11" t="str">
        <f>IFERROR(LAN_OP[[#This Row],[R$ (CONTRATO - CUSTOS)]]/LAN_OP[[#This Row],[VALOR CONTRATO]],"")</f>
        <v/>
      </c>
      <c r="AK40" s="3">
        <f>LAN_OP[[#This Row],[VALOR CONTRATO]]-LAN_OP[[#This Row],[VALOR FATURADO]]</f>
        <v>0</v>
      </c>
      <c r="AL40" s="3" t="str">
        <f>IF(AND(C40&gt;=CALENDARIO!$B$2,C40&lt;=CALENDARIO!$C$2),"JANEIRO",IF(AND(C40&gt;=CALENDARIO!$B$3,C40&lt;=CALENDARIO!$C$3),"FEVEREIRO",IF(AND(C40&gt;=CALENDARIO!$B$4,C40&lt;=CALENDARIO!$C$4),"MARÇO",IF(AND(C40&gt;=CALENDARIO!$B$5,C40&lt;=CALENDARIO!$C$5),"ABRIL",IF(AND(C40&gt;=CALENDARIO!$B$6,C40&lt;=CALENDARIO!$C$6),"MAIO",IF(AND(C40&gt;=CALENDARIO!$B$7,C40&lt;=CALENDARIO!$C$7),"JUNHO",IF(AND(C40&gt;=CALENDARIO!$B$8,C40&lt;=CALENDARIO!$C$8),"JULHO",IF(AND(C40&gt;=CALENDARIO!$B$9,C40&lt;=CALENDARIO!$C$9),"AGOSTO",IF(AND(C40&gt;=CALENDARIO!$B$10,C40&lt;=CALENDARIO!$C$10),"SETEMBRO",IF(AND(C40&gt;=CALENDARIO!$B$11,C40&lt;=CALENDARIO!$C$11),"OUTUBRO",IF(AND(C40&gt;=CALENDARIO!$B$12,C40&lt;=CALENDARIO!$C$12),"NOVEMBRO",IF(AND(C40&gt;=CALENDARIO!$B$13,C40&lt;=CALENDARIO!$C$13),"DEZEMBRO","-"))))))))))))</f>
        <v>-</v>
      </c>
      <c r="AM40" s="3" t="str">
        <f>RIGHT(LAN_OP[[#This Row],[OP/OS]],4)</f>
        <v/>
      </c>
    </row>
    <row r="41" spans="2:39" x14ac:dyDescent="0.3">
      <c r="B41" s="80"/>
      <c r="C41" s="140"/>
      <c r="G41"/>
      <c r="H41"/>
      <c r="I41" s="3"/>
      <c r="J41" s="3"/>
      <c r="K41" s="11" t="e">
        <f>LAN_OP[[#This Row],[VALOR FATURADO]]/LAN_OP[[#This Row],[VALOR CONTRATO]]</f>
        <v>#DIV/0!</v>
      </c>
      <c r="L41" s="4">
        <f>LAN_OP[[#This Row],[VALOR CONTRATO]]-LAN_OP[[#This Row],[VALOR FATURADO]]</f>
        <v>0</v>
      </c>
      <c r="M41" s="11" t="e">
        <v>#DIV/0!</v>
      </c>
      <c r="P41" s="11"/>
      <c r="Q41" s="141"/>
      <c r="R41" s="3"/>
      <c r="S41" s="4"/>
      <c r="T41" s="8" t="str">
        <f>IFERROR(VLOOKUP(LAN_OP[[#This Row],[OP/OS]],LANC_FAT!A:M,2,0),"-")</f>
        <v>-</v>
      </c>
      <c r="U41" s="9" t="str">
        <f>IFERROR(VLOOKUP(LAN_OP[[#This Row],[OP/OS]],LANC_FAT!A:M,8,0),"-")</f>
        <v>-</v>
      </c>
      <c r="V41" s="10">
        <f>SUMIF(LANC_FAT[OP/OS],LAN_OP[[#This Row],[OP/OS]],LANC_FAT[VALOR DA NF COM IMPOSTO])</f>
        <v>0</v>
      </c>
      <c r="W41" s="3"/>
      <c r="X41" s="10">
        <f>SUMIF(LANC_COMPRA[OP/OS],LAN_OP[[#This Row],[OP/OS]],LANC_COMPRA[[VALOR ]])</f>
        <v>0</v>
      </c>
      <c r="Y41" s="10">
        <f>SUMIF(LANC_HORAS[OP/OS],LAN_OP[[#This Row],[OP/OS]],LANC_HORAS[TOTAL GERAL NORMAL])</f>
        <v>0</v>
      </c>
      <c r="Z41" s="10">
        <f>SUMIF(LANC_HORAS[OP/OS],LAN_OP[[#This Row],[OP/OS]],LANC_HORAS[TOTAL GERAL EXTRAS])</f>
        <v>0</v>
      </c>
      <c r="AA41" s="12">
        <f>SUMIF(LANC_HORAS[OP/OS],LAN_OP[[#This Row],[OP/OS]],LANC_HORAS[TOTAL H.N])</f>
        <v>0</v>
      </c>
      <c r="AB41" s="12">
        <f>SUMIF(LANC_HORAS[OP/OS],LAN_OP[[#This Row],[OP/OS]],LANC_HORAS[TOTAL H.E])</f>
        <v>0</v>
      </c>
      <c r="AC41" s="10">
        <f>SUMIF(LANC_DESPESAS[OS/OP],LAN_OP[[#This Row],[OP/OS]],LANC_DESPESAS[OBSERVAÇÕES])</f>
        <v>0</v>
      </c>
      <c r="AD41" s="3">
        <f>SUMIF(LANC_DESLOC[OS/OP],LAN_OP[[#This Row],[OP/OS]],LANC_DESLOC[ANO])</f>
        <v>0</v>
      </c>
      <c r="AE4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1" s="3">
        <f>LAN_OP[[#This Row],[TOTAL PARCIAL (M.O+MT+DESP)]]*1.08</f>
        <v>0</v>
      </c>
      <c r="AG41" s="3">
        <f>LAN_OP[[#This Row],[TOTAL PARCIAL + OUTROS CUSTOS (8%)]]*1.09</f>
        <v>0</v>
      </c>
      <c r="AH41" t="str">
        <f>IF(AND(U41&gt;=CALENDARIO!$B$2,U41&lt;=CALENDARIO!$C$2),"JANEIRO",IF(AND(U41&gt;=CALENDARIO!$B$3,U41&lt;=CALENDARIO!$C$3),"FEVEREIRO",IF(AND(U41&gt;=CALENDARIO!$B$4,U41&lt;=CALENDARIO!$C$4),"MARÇO",IF(AND(U41&gt;=CALENDARIO!$B$5,U41&lt;=CALENDARIO!$C$5),"ABRIL",IF(AND(U41&gt;=CALENDARIO!$B$6,U41&lt;=CALENDARIO!$C$6),"MAIO",IF(AND(U41&gt;=CALENDARIO!$B$7,U41&lt;=CALENDARIO!$C$7),"JUNHO",IF(AND(U41&gt;=CALENDARIO!$B$8,U41&lt;=CALENDARIO!$C$8),"JULHO",IF(AND(U41&gt;=CALENDARIO!$B$9,U41&lt;=CALENDARIO!$C$9),"AGOSTO",IF(AND(U41&gt;=CALENDARIO!$B$10,U41&lt;=CALENDARIO!$C$10),"SETEMBRO",IF(AND(U41&gt;=CALENDARIO!$B$11,U41&lt;=CALENDARIO!$C$11),"OUTUBRO",IF(AND(U41&gt;=CALENDARIO!$B$12,U41&lt;=CALENDARIO!$C$12),"NOVEMBRO",IF(AND(U41&gt;=CALENDARIO!$B$13,U41&lt;=CALENDARIO!$C$13),"DEZEMBRO","-"))))))))))))</f>
        <v>-</v>
      </c>
      <c r="AI41" s="3">
        <f>LAN_OP[[#This Row],[VALOR CONTRATO]]-LAN_OP[[#This Row],[TOTAL CUSTO (O.C + DI + MT + MO+DESP)]]</f>
        <v>0</v>
      </c>
      <c r="AJ41" s="11" t="str">
        <f>IFERROR(LAN_OP[[#This Row],[R$ (CONTRATO - CUSTOS)]]/LAN_OP[[#This Row],[VALOR CONTRATO]],"")</f>
        <v/>
      </c>
      <c r="AK41" s="3">
        <f>LAN_OP[[#This Row],[VALOR CONTRATO]]-LAN_OP[[#This Row],[VALOR FATURADO]]</f>
        <v>0</v>
      </c>
      <c r="AL41" s="3" t="str">
        <f>IF(AND(C41&gt;=CALENDARIO!$B$2,C41&lt;=CALENDARIO!$C$2),"JANEIRO",IF(AND(C41&gt;=CALENDARIO!$B$3,C41&lt;=CALENDARIO!$C$3),"FEVEREIRO",IF(AND(C41&gt;=CALENDARIO!$B$4,C41&lt;=CALENDARIO!$C$4),"MARÇO",IF(AND(C41&gt;=CALENDARIO!$B$5,C41&lt;=CALENDARIO!$C$5),"ABRIL",IF(AND(C41&gt;=CALENDARIO!$B$6,C41&lt;=CALENDARIO!$C$6),"MAIO",IF(AND(C41&gt;=CALENDARIO!$B$7,C41&lt;=CALENDARIO!$C$7),"JUNHO",IF(AND(C41&gt;=CALENDARIO!$B$8,C41&lt;=CALENDARIO!$C$8),"JULHO",IF(AND(C41&gt;=CALENDARIO!$B$9,C41&lt;=CALENDARIO!$C$9),"AGOSTO",IF(AND(C41&gt;=CALENDARIO!$B$10,C41&lt;=CALENDARIO!$C$10),"SETEMBRO",IF(AND(C41&gt;=CALENDARIO!$B$11,C41&lt;=CALENDARIO!$C$11),"OUTUBRO",IF(AND(C41&gt;=CALENDARIO!$B$12,C41&lt;=CALENDARIO!$C$12),"NOVEMBRO",IF(AND(C41&gt;=CALENDARIO!$B$13,C41&lt;=CALENDARIO!$C$13),"DEZEMBRO","-"))))))))))))</f>
        <v>-</v>
      </c>
      <c r="AM41" s="3" t="str">
        <f>RIGHT(LAN_OP[[#This Row],[OP/OS]],4)</f>
        <v/>
      </c>
    </row>
    <row r="42" spans="2:39" x14ac:dyDescent="0.3">
      <c r="B42" s="80"/>
      <c r="C42" s="140"/>
      <c r="G42"/>
      <c r="H42"/>
      <c r="I42" s="3"/>
      <c r="J42" s="3"/>
      <c r="K42" s="11" t="e">
        <f>LAN_OP[[#This Row],[VALOR FATURADO]]/LAN_OP[[#This Row],[VALOR CONTRATO]]</f>
        <v>#DIV/0!</v>
      </c>
      <c r="L42" s="4">
        <f>LAN_OP[[#This Row],[VALOR CONTRATO]]-LAN_OP[[#This Row],[VALOR FATURADO]]</f>
        <v>0</v>
      </c>
      <c r="M42" s="11" t="e">
        <v>#DIV/0!</v>
      </c>
      <c r="P42" s="11"/>
      <c r="Q42" s="141"/>
      <c r="R42" s="3"/>
      <c r="S42" s="4"/>
      <c r="T42" s="8" t="str">
        <f>IFERROR(VLOOKUP(LAN_OP[[#This Row],[OP/OS]],LANC_FAT!A:M,2,0),"-")</f>
        <v>-</v>
      </c>
      <c r="U42" s="9" t="str">
        <f>IFERROR(VLOOKUP(LAN_OP[[#This Row],[OP/OS]],LANC_FAT!A:M,8,0),"-")</f>
        <v>-</v>
      </c>
      <c r="V42" s="10">
        <f>SUMIF(LANC_FAT[OP/OS],LAN_OP[[#This Row],[OP/OS]],LANC_FAT[VALOR DA NF COM IMPOSTO])</f>
        <v>0</v>
      </c>
      <c r="W42" s="3"/>
      <c r="X42" s="10">
        <f>SUMIF(LANC_COMPRA[OP/OS],LAN_OP[[#This Row],[OP/OS]],LANC_COMPRA[[VALOR ]])</f>
        <v>0</v>
      </c>
      <c r="Y42" s="10">
        <f>SUMIF(LANC_HORAS[OP/OS],LAN_OP[[#This Row],[OP/OS]],LANC_HORAS[TOTAL GERAL NORMAL])</f>
        <v>0</v>
      </c>
      <c r="Z42" s="10">
        <f>SUMIF(LANC_HORAS[OP/OS],LAN_OP[[#This Row],[OP/OS]],LANC_HORAS[TOTAL GERAL EXTRAS])</f>
        <v>0</v>
      </c>
      <c r="AA42" s="12">
        <f>SUMIF(LANC_HORAS[OP/OS],LAN_OP[[#This Row],[OP/OS]],LANC_HORAS[TOTAL H.N])</f>
        <v>0</v>
      </c>
      <c r="AB42" s="12">
        <f>SUMIF(LANC_HORAS[OP/OS],LAN_OP[[#This Row],[OP/OS]],LANC_HORAS[TOTAL H.E])</f>
        <v>0</v>
      </c>
      <c r="AC42" s="10">
        <f>SUMIF(LANC_DESPESAS[OS/OP],LAN_OP[[#This Row],[OP/OS]],LANC_DESPESAS[OBSERVAÇÕES])</f>
        <v>0</v>
      </c>
      <c r="AD42" s="3">
        <f>SUMIF(LANC_DESLOC[OS/OP],LAN_OP[[#This Row],[OP/OS]],LANC_DESLOC[ANO])</f>
        <v>0</v>
      </c>
      <c r="AE4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2" s="3">
        <f>LAN_OP[[#This Row],[TOTAL PARCIAL (M.O+MT+DESP)]]*1.08</f>
        <v>0</v>
      </c>
      <c r="AG42" s="3">
        <f>LAN_OP[[#This Row],[TOTAL PARCIAL + OUTROS CUSTOS (8%)]]*1.09</f>
        <v>0</v>
      </c>
      <c r="AH42" t="str">
        <f>IF(AND(U42&gt;=CALENDARIO!$B$2,U42&lt;=CALENDARIO!$C$2),"JANEIRO",IF(AND(U42&gt;=CALENDARIO!$B$3,U42&lt;=CALENDARIO!$C$3),"FEVEREIRO",IF(AND(U42&gt;=CALENDARIO!$B$4,U42&lt;=CALENDARIO!$C$4),"MARÇO",IF(AND(U42&gt;=CALENDARIO!$B$5,U42&lt;=CALENDARIO!$C$5),"ABRIL",IF(AND(U42&gt;=CALENDARIO!$B$6,U42&lt;=CALENDARIO!$C$6),"MAIO",IF(AND(U42&gt;=CALENDARIO!$B$7,U42&lt;=CALENDARIO!$C$7),"JUNHO",IF(AND(U42&gt;=CALENDARIO!$B$8,U42&lt;=CALENDARIO!$C$8),"JULHO",IF(AND(U42&gt;=CALENDARIO!$B$9,U42&lt;=CALENDARIO!$C$9),"AGOSTO",IF(AND(U42&gt;=CALENDARIO!$B$10,U42&lt;=CALENDARIO!$C$10),"SETEMBRO",IF(AND(U42&gt;=CALENDARIO!$B$11,U42&lt;=CALENDARIO!$C$11),"OUTUBRO",IF(AND(U42&gt;=CALENDARIO!$B$12,U42&lt;=CALENDARIO!$C$12),"NOVEMBRO",IF(AND(U42&gt;=CALENDARIO!$B$13,U42&lt;=CALENDARIO!$C$13),"DEZEMBRO","-"))))))))))))</f>
        <v>-</v>
      </c>
      <c r="AI42" s="3">
        <f>LAN_OP[[#This Row],[VALOR CONTRATO]]-LAN_OP[[#This Row],[TOTAL CUSTO (O.C + DI + MT + MO+DESP)]]</f>
        <v>0</v>
      </c>
      <c r="AJ42" s="11" t="str">
        <f>IFERROR(LAN_OP[[#This Row],[R$ (CONTRATO - CUSTOS)]]/LAN_OP[[#This Row],[VALOR CONTRATO]],"")</f>
        <v/>
      </c>
      <c r="AK42" s="3">
        <f>LAN_OP[[#This Row],[VALOR CONTRATO]]-LAN_OP[[#This Row],[VALOR FATURADO]]</f>
        <v>0</v>
      </c>
      <c r="AL42" s="3" t="str">
        <f>IF(AND(C42&gt;=CALENDARIO!$B$2,C42&lt;=CALENDARIO!$C$2),"JANEIRO",IF(AND(C42&gt;=CALENDARIO!$B$3,C42&lt;=CALENDARIO!$C$3),"FEVEREIRO",IF(AND(C42&gt;=CALENDARIO!$B$4,C42&lt;=CALENDARIO!$C$4),"MARÇO",IF(AND(C42&gt;=CALENDARIO!$B$5,C42&lt;=CALENDARIO!$C$5),"ABRIL",IF(AND(C42&gt;=CALENDARIO!$B$6,C42&lt;=CALENDARIO!$C$6),"MAIO",IF(AND(C42&gt;=CALENDARIO!$B$7,C42&lt;=CALENDARIO!$C$7),"JUNHO",IF(AND(C42&gt;=CALENDARIO!$B$8,C42&lt;=CALENDARIO!$C$8),"JULHO",IF(AND(C42&gt;=CALENDARIO!$B$9,C42&lt;=CALENDARIO!$C$9),"AGOSTO",IF(AND(C42&gt;=CALENDARIO!$B$10,C42&lt;=CALENDARIO!$C$10),"SETEMBRO",IF(AND(C42&gt;=CALENDARIO!$B$11,C42&lt;=CALENDARIO!$C$11),"OUTUBRO",IF(AND(C42&gt;=CALENDARIO!$B$12,C42&lt;=CALENDARIO!$C$12),"NOVEMBRO",IF(AND(C42&gt;=CALENDARIO!$B$13,C42&lt;=CALENDARIO!$C$13),"DEZEMBRO","-"))))))))))))</f>
        <v>-</v>
      </c>
      <c r="AM42" s="3" t="str">
        <f>RIGHT(LAN_OP[[#This Row],[OP/OS]],4)</f>
        <v/>
      </c>
    </row>
    <row r="43" spans="2:39" x14ac:dyDescent="0.3">
      <c r="B43" s="80"/>
      <c r="C43" s="140"/>
      <c r="G43"/>
      <c r="H43"/>
      <c r="I43" s="3"/>
      <c r="J43" s="3"/>
      <c r="K43" s="11" t="e">
        <f>LAN_OP[[#This Row],[VALOR FATURADO]]/LAN_OP[[#This Row],[VALOR CONTRATO]]</f>
        <v>#DIV/0!</v>
      </c>
      <c r="L43" s="4">
        <f>LAN_OP[[#This Row],[VALOR CONTRATO]]-LAN_OP[[#This Row],[VALOR FATURADO]]</f>
        <v>0</v>
      </c>
      <c r="M43" s="11" t="e">
        <v>#DIV/0!</v>
      </c>
      <c r="N43" s="138"/>
      <c r="O43" s="138"/>
      <c r="P43" s="11"/>
      <c r="Q43" s="141"/>
      <c r="R43" s="3"/>
      <c r="S43" s="4"/>
      <c r="T43" s="8" t="str">
        <f>IFERROR(VLOOKUP(LAN_OP[[#This Row],[OP/OS]],LANC_FAT!A:M,2,0),"-")</f>
        <v>-</v>
      </c>
      <c r="U43" s="139" t="str">
        <f>IFERROR(VLOOKUP(LAN_OP[[#This Row],[OP/OS]],LANC_FAT!A:M,8,0),"-")</f>
        <v>-</v>
      </c>
      <c r="V43" s="10">
        <f>SUMIF(LANC_FAT[OP/OS],LAN_OP[[#This Row],[OP/OS]],LANC_FAT[VALOR DA NF COM IMPOSTO])</f>
        <v>0</v>
      </c>
      <c r="W43" s="3"/>
      <c r="X43" s="10">
        <f>SUMIF(LANC_COMPRA[OP/OS],LAN_OP[[#This Row],[OP/OS]],LANC_COMPRA[[VALOR ]])</f>
        <v>0</v>
      </c>
      <c r="Y43" s="10">
        <f>SUMIF(LANC_HORAS[OP/OS],LAN_OP[[#This Row],[OP/OS]],LANC_HORAS[TOTAL GERAL NORMAL])</f>
        <v>0</v>
      </c>
      <c r="Z43" s="10">
        <f>SUMIF(LANC_HORAS[OP/OS],LAN_OP[[#This Row],[OP/OS]],LANC_HORAS[TOTAL GERAL EXTRAS])</f>
        <v>0</v>
      </c>
      <c r="AA43" s="12">
        <f>SUMIF(LANC_HORAS[OP/OS],LAN_OP[[#This Row],[OP/OS]],LANC_HORAS[TOTAL H.N])</f>
        <v>0</v>
      </c>
      <c r="AB43" s="12">
        <f>SUMIF(LANC_HORAS[OP/OS],LAN_OP[[#This Row],[OP/OS]],LANC_HORAS[TOTAL H.E])</f>
        <v>0</v>
      </c>
      <c r="AC43" s="10">
        <f>SUMIF(LANC_DESPESAS[OS/OP],LAN_OP[[#This Row],[OP/OS]],LANC_DESPESAS[OBSERVAÇÕES])</f>
        <v>0</v>
      </c>
      <c r="AD43" s="3">
        <f>SUMIF(LANC_DESLOC[OS/OP],LAN_OP[[#This Row],[OP/OS]],LANC_DESLOC[ANO])</f>
        <v>0</v>
      </c>
      <c r="AE4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3" s="3">
        <f>LAN_OP[[#This Row],[TOTAL PARCIAL (M.O+MT+DESP)]]*1.08</f>
        <v>0</v>
      </c>
      <c r="AG43" s="3">
        <f>LAN_OP[[#This Row],[TOTAL PARCIAL + OUTROS CUSTOS (8%)]]*1.09</f>
        <v>0</v>
      </c>
      <c r="AH43" t="str">
        <f>IF(AND(U43&gt;=CALENDARIO!$B$2,U43&lt;=CALENDARIO!$C$2),"JANEIRO",IF(AND(U43&gt;=CALENDARIO!$B$3,U43&lt;=CALENDARIO!$C$3),"FEVEREIRO",IF(AND(U43&gt;=CALENDARIO!$B$4,U43&lt;=CALENDARIO!$C$4),"MARÇO",IF(AND(U43&gt;=CALENDARIO!$B$5,U43&lt;=CALENDARIO!$C$5),"ABRIL",IF(AND(U43&gt;=CALENDARIO!$B$6,U43&lt;=CALENDARIO!$C$6),"MAIO",IF(AND(U43&gt;=CALENDARIO!$B$7,U43&lt;=CALENDARIO!$C$7),"JUNHO",IF(AND(U43&gt;=CALENDARIO!$B$8,U43&lt;=CALENDARIO!$C$8),"JULHO",IF(AND(U43&gt;=CALENDARIO!$B$9,U43&lt;=CALENDARIO!$C$9),"AGOSTO",IF(AND(U43&gt;=CALENDARIO!$B$10,U43&lt;=CALENDARIO!$C$10),"SETEMBRO",IF(AND(U43&gt;=CALENDARIO!$B$11,U43&lt;=CALENDARIO!$C$11),"OUTUBRO",IF(AND(U43&gt;=CALENDARIO!$B$12,U43&lt;=CALENDARIO!$C$12),"NOVEMBRO",IF(AND(U43&gt;=CALENDARIO!$B$13,U43&lt;=CALENDARIO!$C$13),"DEZEMBRO","-"))))))))))))</f>
        <v>-</v>
      </c>
      <c r="AI43" s="3">
        <f>LAN_OP[[#This Row],[VALOR CONTRATO]]-LAN_OP[[#This Row],[TOTAL CUSTO (O.C + DI + MT + MO+DESP)]]</f>
        <v>0</v>
      </c>
      <c r="AJ43" s="11" t="str">
        <f>IFERROR(LAN_OP[[#This Row],[R$ (CONTRATO - CUSTOS)]]/LAN_OP[[#This Row],[VALOR CONTRATO]],"")</f>
        <v/>
      </c>
      <c r="AK43" s="3">
        <f>LAN_OP[[#This Row],[VALOR CONTRATO]]-LAN_OP[[#This Row],[VALOR FATURADO]]</f>
        <v>0</v>
      </c>
      <c r="AL43" s="3" t="str">
        <f>IF(AND(C43&gt;=CALENDARIO!$B$2,C43&lt;=CALENDARIO!$C$2),"JANEIRO",IF(AND(C43&gt;=CALENDARIO!$B$3,C43&lt;=CALENDARIO!$C$3),"FEVEREIRO",IF(AND(C43&gt;=CALENDARIO!$B$4,C43&lt;=CALENDARIO!$C$4),"MARÇO",IF(AND(C43&gt;=CALENDARIO!$B$5,C43&lt;=CALENDARIO!$C$5),"ABRIL",IF(AND(C43&gt;=CALENDARIO!$B$6,C43&lt;=CALENDARIO!$C$6),"MAIO",IF(AND(C43&gt;=CALENDARIO!$B$7,C43&lt;=CALENDARIO!$C$7),"JUNHO",IF(AND(C43&gt;=CALENDARIO!$B$8,C43&lt;=CALENDARIO!$C$8),"JULHO",IF(AND(C43&gt;=CALENDARIO!$B$9,C43&lt;=CALENDARIO!$C$9),"AGOSTO",IF(AND(C43&gt;=CALENDARIO!$B$10,C43&lt;=CALENDARIO!$C$10),"SETEMBRO",IF(AND(C43&gt;=CALENDARIO!$B$11,C43&lt;=CALENDARIO!$C$11),"OUTUBRO",IF(AND(C43&gt;=CALENDARIO!$B$12,C43&lt;=CALENDARIO!$C$12),"NOVEMBRO",IF(AND(C43&gt;=CALENDARIO!$B$13,C43&lt;=CALENDARIO!$C$13),"DEZEMBRO","-"))))))))))))</f>
        <v>-</v>
      </c>
      <c r="AM43" s="3" t="str">
        <f>RIGHT(LAN_OP[[#This Row],[OP/OS]],4)</f>
        <v/>
      </c>
    </row>
    <row r="44" spans="2:39" x14ac:dyDescent="0.3">
      <c r="B44" s="80"/>
      <c r="C44" s="140"/>
      <c r="G44"/>
      <c r="H44"/>
      <c r="I44" s="3"/>
      <c r="J44" s="3"/>
      <c r="K44" s="11" t="e">
        <f>LAN_OP[[#This Row],[VALOR FATURADO]]/LAN_OP[[#This Row],[VALOR CONTRATO]]</f>
        <v>#DIV/0!</v>
      </c>
      <c r="L44" s="4">
        <f>LAN_OP[[#This Row],[VALOR CONTRATO]]-LAN_OP[[#This Row],[VALOR FATURADO]]</f>
        <v>0</v>
      </c>
      <c r="M44" s="11" t="e">
        <v>#DIV/0!</v>
      </c>
      <c r="N44" s="138"/>
      <c r="O44" s="138"/>
      <c r="P44" s="11"/>
      <c r="Q44" s="141"/>
      <c r="R44" s="3"/>
      <c r="S44" s="4"/>
      <c r="T44" s="8" t="str">
        <f>IFERROR(VLOOKUP(LAN_OP[[#This Row],[OP/OS]],LANC_FAT!A:M,2,0),"-")</f>
        <v>-</v>
      </c>
      <c r="U44" s="139" t="str">
        <f>IFERROR(VLOOKUP(LAN_OP[[#This Row],[OP/OS]],LANC_FAT!A:M,8,0),"-")</f>
        <v>-</v>
      </c>
      <c r="V44" s="10">
        <f>SUMIF(LANC_FAT[OP/OS],LAN_OP[[#This Row],[OP/OS]],LANC_FAT[VALOR DA NF COM IMPOSTO])</f>
        <v>0</v>
      </c>
      <c r="W44" s="3"/>
      <c r="X44" s="10">
        <f>SUMIF(LANC_COMPRA[OP/OS],LAN_OP[[#This Row],[OP/OS]],LANC_COMPRA[[VALOR ]])</f>
        <v>0</v>
      </c>
      <c r="Y44" s="10">
        <f>SUMIF(LANC_HORAS[OP/OS],LAN_OP[[#This Row],[OP/OS]],LANC_HORAS[TOTAL GERAL NORMAL])</f>
        <v>0</v>
      </c>
      <c r="Z44" s="10">
        <f>SUMIF(LANC_HORAS[OP/OS],LAN_OP[[#This Row],[OP/OS]],LANC_HORAS[TOTAL GERAL EXTRAS])</f>
        <v>0</v>
      </c>
      <c r="AA44" s="12">
        <f>SUMIF(LANC_HORAS[OP/OS],LAN_OP[[#This Row],[OP/OS]],LANC_HORAS[TOTAL H.N])</f>
        <v>0</v>
      </c>
      <c r="AB44" s="12">
        <f>SUMIF(LANC_HORAS[OP/OS],LAN_OP[[#This Row],[OP/OS]],LANC_HORAS[TOTAL H.E])</f>
        <v>0</v>
      </c>
      <c r="AC44" s="10">
        <f>SUMIF(LANC_DESPESAS[OS/OP],LAN_OP[[#This Row],[OP/OS]],LANC_DESPESAS[OBSERVAÇÕES])</f>
        <v>0</v>
      </c>
      <c r="AD44" s="3">
        <f>SUMIF(LANC_DESLOC[OS/OP],LAN_OP[[#This Row],[OP/OS]],LANC_DESLOC[ANO])</f>
        <v>0</v>
      </c>
      <c r="AE4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4" s="3">
        <f>LAN_OP[[#This Row],[TOTAL PARCIAL (M.O+MT+DESP)]]*1.08</f>
        <v>0</v>
      </c>
      <c r="AG44" s="3">
        <f>LAN_OP[[#This Row],[TOTAL PARCIAL + OUTROS CUSTOS (8%)]]*1.09</f>
        <v>0</v>
      </c>
      <c r="AH44" t="str">
        <f>IF(AND(U44&gt;=CALENDARIO!$B$2,U44&lt;=CALENDARIO!$C$2),"JANEIRO",IF(AND(U44&gt;=CALENDARIO!$B$3,U44&lt;=CALENDARIO!$C$3),"FEVEREIRO",IF(AND(U44&gt;=CALENDARIO!$B$4,U44&lt;=CALENDARIO!$C$4),"MARÇO",IF(AND(U44&gt;=CALENDARIO!$B$5,U44&lt;=CALENDARIO!$C$5),"ABRIL",IF(AND(U44&gt;=CALENDARIO!$B$6,U44&lt;=CALENDARIO!$C$6),"MAIO",IF(AND(U44&gt;=CALENDARIO!$B$7,U44&lt;=CALENDARIO!$C$7),"JUNHO",IF(AND(U44&gt;=CALENDARIO!$B$8,U44&lt;=CALENDARIO!$C$8),"JULHO",IF(AND(U44&gt;=CALENDARIO!$B$9,U44&lt;=CALENDARIO!$C$9),"AGOSTO",IF(AND(U44&gt;=CALENDARIO!$B$10,U44&lt;=CALENDARIO!$C$10),"SETEMBRO",IF(AND(U44&gt;=CALENDARIO!$B$11,U44&lt;=CALENDARIO!$C$11),"OUTUBRO",IF(AND(U44&gt;=CALENDARIO!$B$12,U44&lt;=CALENDARIO!$C$12),"NOVEMBRO",IF(AND(U44&gt;=CALENDARIO!$B$13,U44&lt;=CALENDARIO!$C$13),"DEZEMBRO","-"))))))))))))</f>
        <v>-</v>
      </c>
      <c r="AI44" s="3">
        <f>LAN_OP[[#This Row],[VALOR CONTRATO]]-LAN_OP[[#This Row],[TOTAL CUSTO (O.C + DI + MT + MO+DESP)]]</f>
        <v>0</v>
      </c>
      <c r="AJ44" s="11" t="str">
        <f>IFERROR(LAN_OP[[#This Row],[R$ (CONTRATO - CUSTOS)]]/LAN_OP[[#This Row],[VALOR CONTRATO]],"")</f>
        <v/>
      </c>
      <c r="AK44" s="3">
        <f>LAN_OP[[#This Row],[VALOR CONTRATO]]-LAN_OP[[#This Row],[VALOR FATURADO]]</f>
        <v>0</v>
      </c>
      <c r="AL44" s="3" t="str">
        <f>IF(AND(C44&gt;=CALENDARIO!$B$2,C44&lt;=CALENDARIO!$C$2),"JANEIRO",IF(AND(C44&gt;=CALENDARIO!$B$3,C44&lt;=CALENDARIO!$C$3),"FEVEREIRO",IF(AND(C44&gt;=CALENDARIO!$B$4,C44&lt;=CALENDARIO!$C$4),"MARÇO",IF(AND(C44&gt;=CALENDARIO!$B$5,C44&lt;=CALENDARIO!$C$5),"ABRIL",IF(AND(C44&gt;=CALENDARIO!$B$6,C44&lt;=CALENDARIO!$C$6),"MAIO",IF(AND(C44&gt;=CALENDARIO!$B$7,C44&lt;=CALENDARIO!$C$7),"JUNHO",IF(AND(C44&gt;=CALENDARIO!$B$8,C44&lt;=CALENDARIO!$C$8),"JULHO",IF(AND(C44&gt;=CALENDARIO!$B$9,C44&lt;=CALENDARIO!$C$9),"AGOSTO",IF(AND(C44&gt;=CALENDARIO!$B$10,C44&lt;=CALENDARIO!$C$10),"SETEMBRO",IF(AND(C44&gt;=CALENDARIO!$B$11,C44&lt;=CALENDARIO!$C$11),"OUTUBRO",IF(AND(C44&gt;=CALENDARIO!$B$12,C44&lt;=CALENDARIO!$C$12),"NOVEMBRO",IF(AND(C44&gt;=CALENDARIO!$B$13,C44&lt;=CALENDARIO!$C$13),"DEZEMBRO","-"))))))))))))</f>
        <v>-</v>
      </c>
      <c r="AM44" s="3" t="str">
        <f>RIGHT(LAN_OP[[#This Row],[OP/OS]],4)</f>
        <v/>
      </c>
    </row>
    <row r="45" spans="2:39" x14ac:dyDescent="0.3">
      <c r="B45" s="80"/>
      <c r="C45" s="140"/>
      <c r="G45"/>
      <c r="H45"/>
      <c r="I45" s="3"/>
      <c r="J45" s="3"/>
      <c r="K45" s="11" t="e">
        <f>LAN_OP[[#This Row],[VALOR FATURADO]]/LAN_OP[[#This Row],[VALOR CONTRATO]]</f>
        <v>#DIV/0!</v>
      </c>
      <c r="L45" s="4">
        <f>LAN_OP[[#This Row],[VALOR CONTRATO]]-LAN_OP[[#This Row],[VALOR FATURADO]]</f>
        <v>0</v>
      </c>
      <c r="M45" s="11" t="e">
        <v>#DIV/0!</v>
      </c>
      <c r="N45" s="138"/>
      <c r="O45" s="138"/>
      <c r="P45" s="11"/>
      <c r="Q45" s="141"/>
      <c r="R45" s="3"/>
      <c r="S45" s="4"/>
      <c r="T45" s="8" t="str">
        <f>IFERROR(VLOOKUP(LAN_OP[[#This Row],[OP/OS]],LANC_FAT!A:M,2,0),"-")</f>
        <v>-</v>
      </c>
      <c r="U45" s="139" t="str">
        <f>IFERROR(VLOOKUP(LAN_OP[[#This Row],[OP/OS]],LANC_FAT!A:M,8,0),"-")</f>
        <v>-</v>
      </c>
      <c r="V45" s="10">
        <f>SUMIF(LANC_FAT[OP/OS],LAN_OP[[#This Row],[OP/OS]],LANC_FAT[VALOR DA NF COM IMPOSTO])</f>
        <v>0</v>
      </c>
      <c r="W45" s="3"/>
      <c r="X45" s="10">
        <f>SUMIF(LANC_COMPRA[OP/OS],LAN_OP[[#This Row],[OP/OS]],LANC_COMPRA[[VALOR ]])</f>
        <v>0</v>
      </c>
      <c r="Y45" s="10">
        <f>SUMIF(LANC_HORAS[OP/OS],LAN_OP[[#This Row],[OP/OS]],LANC_HORAS[TOTAL GERAL NORMAL])</f>
        <v>0</v>
      </c>
      <c r="Z45" s="10">
        <f>SUMIF(LANC_HORAS[OP/OS],LAN_OP[[#This Row],[OP/OS]],LANC_HORAS[TOTAL GERAL EXTRAS])</f>
        <v>0</v>
      </c>
      <c r="AA45" s="12">
        <f>SUMIF(LANC_HORAS[OP/OS],LAN_OP[[#This Row],[OP/OS]],LANC_HORAS[TOTAL H.N])</f>
        <v>0</v>
      </c>
      <c r="AB45" s="12">
        <f>SUMIF(LANC_HORAS[OP/OS],LAN_OP[[#This Row],[OP/OS]],LANC_HORAS[TOTAL H.E])</f>
        <v>0</v>
      </c>
      <c r="AC45" s="10">
        <f>SUMIF(LANC_DESPESAS[OS/OP],LAN_OP[[#This Row],[OP/OS]],LANC_DESPESAS[OBSERVAÇÕES])</f>
        <v>0</v>
      </c>
      <c r="AD45" s="3">
        <f>SUMIF(LANC_DESLOC[OS/OP],LAN_OP[[#This Row],[OP/OS]],LANC_DESLOC[ANO])</f>
        <v>0</v>
      </c>
      <c r="AE4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5" s="3">
        <f>LAN_OP[[#This Row],[TOTAL PARCIAL (M.O+MT+DESP)]]*1.08</f>
        <v>0</v>
      </c>
      <c r="AG45" s="3">
        <f>LAN_OP[[#This Row],[TOTAL PARCIAL + OUTROS CUSTOS (8%)]]*1.09</f>
        <v>0</v>
      </c>
      <c r="AH45" t="str">
        <f>IF(AND(U45&gt;=CALENDARIO!$B$2,U45&lt;=CALENDARIO!$C$2),"JANEIRO",IF(AND(U45&gt;=CALENDARIO!$B$3,U45&lt;=CALENDARIO!$C$3),"FEVEREIRO",IF(AND(U45&gt;=CALENDARIO!$B$4,U45&lt;=CALENDARIO!$C$4),"MARÇO",IF(AND(U45&gt;=CALENDARIO!$B$5,U45&lt;=CALENDARIO!$C$5),"ABRIL",IF(AND(U45&gt;=CALENDARIO!$B$6,U45&lt;=CALENDARIO!$C$6),"MAIO",IF(AND(U45&gt;=CALENDARIO!$B$7,U45&lt;=CALENDARIO!$C$7),"JUNHO",IF(AND(U45&gt;=CALENDARIO!$B$8,U45&lt;=CALENDARIO!$C$8),"JULHO",IF(AND(U45&gt;=CALENDARIO!$B$9,U45&lt;=CALENDARIO!$C$9),"AGOSTO",IF(AND(U45&gt;=CALENDARIO!$B$10,U45&lt;=CALENDARIO!$C$10),"SETEMBRO",IF(AND(U45&gt;=CALENDARIO!$B$11,U45&lt;=CALENDARIO!$C$11),"OUTUBRO",IF(AND(U45&gt;=CALENDARIO!$B$12,U45&lt;=CALENDARIO!$C$12),"NOVEMBRO",IF(AND(U45&gt;=CALENDARIO!$B$13,U45&lt;=CALENDARIO!$C$13),"DEZEMBRO","-"))))))))))))</f>
        <v>-</v>
      </c>
      <c r="AI45" s="3">
        <f>LAN_OP[[#This Row],[VALOR CONTRATO]]-LAN_OP[[#This Row],[TOTAL CUSTO (O.C + DI + MT + MO+DESP)]]</f>
        <v>0</v>
      </c>
      <c r="AJ45" s="11" t="str">
        <f>IFERROR(LAN_OP[[#This Row],[R$ (CONTRATO - CUSTOS)]]/LAN_OP[[#This Row],[VALOR CONTRATO]],"")</f>
        <v/>
      </c>
      <c r="AK45" s="3">
        <f>LAN_OP[[#This Row],[VALOR CONTRATO]]-LAN_OP[[#This Row],[VALOR FATURADO]]</f>
        <v>0</v>
      </c>
      <c r="AL45" s="3" t="str">
        <f>IF(AND(C45&gt;=CALENDARIO!$B$2,C45&lt;=CALENDARIO!$C$2),"JANEIRO",IF(AND(C45&gt;=CALENDARIO!$B$3,C45&lt;=CALENDARIO!$C$3),"FEVEREIRO",IF(AND(C45&gt;=CALENDARIO!$B$4,C45&lt;=CALENDARIO!$C$4),"MARÇO",IF(AND(C45&gt;=CALENDARIO!$B$5,C45&lt;=CALENDARIO!$C$5),"ABRIL",IF(AND(C45&gt;=CALENDARIO!$B$6,C45&lt;=CALENDARIO!$C$6),"MAIO",IF(AND(C45&gt;=CALENDARIO!$B$7,C45&lt;=CALENDARIO!$C$7),"JUNHO",IF(AND(C45&gt;=CALENDARIO!$B$8,C45&lt;=CALENDARIO!$C$8),"JULHO",IF(AND(C45&gt;=CALENDARIO!$B$9,C45&lt;=CALENDARIO!$C$9),"AGOSTO",IF(AND(C45&gt;=CALENDARIO!$B$10,C45&lt;=CALENDARIO!$C$10),"SETEMBRO",IF(AND(C45&gt;=CALENDARIO!$B$11,C45&lt;=CALENDARIO!$C$11),"OUTUBRO",IF(AND(C45&gt;=CALENDARIO!$B$12,C45&lt;=CALENDARIO!$C$12),"NOVEMBRO",IF(AND(C45&gt;=CALENDARIO!$B$13,C45&lt;=CALENDARIO!$C$13),"DEZEMBRO","-"))))))))))))</f>
        <v>-</v>
      </c>
      <c r="AM45" s="3" t="str">
        <f>RIGHT(LAN_OP[[#This Row],[OP/OS]],4)</f>
        <v/>
      </c>
    </row>
    <row r="46" spans="2:39" x14ac:dyDescent="0.3">
      <c r="B46" s="80"/>
      <c r="C46" s="140"/>
      <c r="G46"/>
      <c r="H46"/>
      <c r="I46" s="3"/>
      <c r="J46" s="3"/>
      <c r="K46" s="11" t="e">
        <f>LAN_OP[[#This Row],[VALOR FATURADO]]/LAN_OP[[#This Row],[VALOR CONTRATO]]</f>
        <v>#DIV/0!</v>
      </c>
      <c r="L46" s="4">
        <f>LAN_OP[[#This Row],[VALOR CONTRATO]]-LAN_OP[[#This Row],[VALOR FATURADO]]</f>
        <v>0</v>
      </c>
      <c r="M46" s="11" t="e">
        <v>#DIV/0!</v>
      </c>
      <c r="N46" s="138"/>
      <c r="O46" s="138"/>
      <c r="P46" s="11"/>
      <c r="Q46" s="141"/>
      <c r="R46" s="3"/>
      <c r="S46" s="4"/>
      <c r="T46" s="8" t="str">
        <f>IFERROR(VLOOKUP(LAN_OP[[#This Row],[OP/OS]],LANC_FAT!A:M,2,0),"-")</f>
        <v>-</v>
      </c>
      <c r="U46" s="139" t="str">
        <f>IFERROR(VLOOKUP(LAN_OP[[#This Row],[OP/OS]],LANC_FAT!A:M,8,0),"-")</f>
        <v>-</v>
      </c>
      <c r="V46" s="10">
        <f>SUMIF(LANC_FAT[OP/OS],LAN_OP[[#This Row],[OP/OS]],LANC_FAT[VALOR DA NF COM IMPOSTO])</f>
        <v>0</v>
      </c>
      <c r="W46" s="3"/>
      <c r="X46" s="10">
        <f>SUMIF(LANC_COMPRA[OP/OS],LAN_OP[[#This Row],[OP/OS]],LANC_COMPRA[[VALOR ]])</f>
        <v>0</v>
      </c>
      <c r="Y46" s="10">
        <f>SUMIF(LANC_HORAS[OP/OS],LAN_OP[[#This Row],[OP/OS]],LANC_HORAS[TOTAL GERAL NORMAL])</f>
        <v>0</v>
      </c>
      <c r="Z46" s="10">
        <f>SUMIF(LANC_HORAS[OP/OS],LAN_OP[[#This Row],[OP/OS]],LANC_HORAS[TOTAL GERAL EXTRAS])</f>
        <v>0</v>
      </c>
      <c r="AA46" s="12">
        <f>SUMIF(LANC_HORAS[OP/OS],LAN_OP[[#This Row],[OP/OS]],LANC_HORAS[TOTAL H.N])</f>
        <v>0</v>
      </c>
      <c r="AB46" s="12">
        <f>SUMIF(LANC_HORAS[OP/OS],LAN_OP[[#This Row],[OP/OS]],LANC_HORAS[TOTAL H.E])</f>
        <v>0</v>
      </c>
      <c r="AC46" s="10">
        <f>SUMIF(LANC_DESPESAS[OS/OP],LAN_OP[[#This Row],[OP/OS]],LANC_DESPESAS[OBSERVAÇÕES])</f>
        <v>0</v>
      </c>
      <c r="AD46" s="3">
        <f>SUMIF(LANC_DESLOC[OS/OP],LAN_OP[[#This Row],[OP/OS]],LANC_DESLOC[ANO])</f>
        <v>0</v>
      </c>
      <c r="AE4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6" s="3">
        <f>LAN_OP[[#This Row],[TOTAL PARCIAL (M.O+MT+DESP)]]*1.08</f>
        <v>0</v>
      </c>
      <c r="AG46" s="3">
        <f>LAN_OP[[#This Row],[TOTAL PARCIAL + OUTROS CUSTOS (8%)]]*1.09</f>
        <v>0</v>
      </c>
      <c r="AH46" t="str">
        <f>IF(AND(U46&gt;=CALENDARIO!$B$2,U46&lt;=CALENDARIO!$C$2),"JANEIRO",IF(AND(U46&gt;=CALENDARIO!$B$3,U46&lt;=CALENDARIO!$C$3),"FEVEREIRO",IF(AND(U46&gt;=CALENDARIO!$B$4,U46&lt;=CALENDARIO!$C$4),"MARÇO",IF(AND(U46&gt;=CALENDARIO!$B$5,U46&lt;=CALENDARIO!$C$5),"ABRIL",IF(AND(U46&gt;=CALENDARIO!$B$6,U46&lt;=CALENDARIO!$C$6),"MAIO",IF(AND(U46&gt;=CALENDARIO!$B$7,U46&lt;=CALENDARIO!$C$7),"JUNHO",IF(AND(U46&gt;=CALENDARIO!$B$8,U46&lt;=CALENDARIO!$C$8),"JULHO",IF(AND(U46&gt;=CALENDARIO!$B$9,U46&lt;=CALENDARIO!$C$9),"AGOSTO",IF(AND(U46&gt;=CALENDARIO!$B$10,U46&lt;=CALENDARIO!$C$10),"SETEMBRO",IF(AND(U46&gt;=CALENDARIO!$B$11,U46&lt;=CALENDARIO!$C$11),"OUTUBRO",IF(AND(U46&gt;=CALENDARIO!$B$12,U46&lt;=CALENDARIO!$C$12),"NOVEMBRO",IF(AND(U46&gt;=CALENDARIO!$B$13,U46&lt;=CALENDARIO!$C$13),"DEZEMBRO","-"))))))))))))</f>
        <v>-</v>
      </c>
      <c r="AI46" s="3">
        <f>LAN_OP[[#This Row],[VALOR CONTRATO]]-LAN_OP[[#This Row],[TOTAL CUSTO (O.C + DI + MT + MO+DESP)]]</f>
        <v>0</v>
      </c>
      <c r="AJ46" s="11" t="str">
        <f>IFERROR(LAN_OP[[#This Row],[R$ (CONTRATO - CUSTOS)]]/LAN_OP[[#This Row],[VALOR CONTRATO]],"")</f>
        <v/>
      </c>
      <c r="AK46" s="3">
        <f>LAN_OP[[#This Row],[VALOR CONTRATO]]-LAN_OP[[#This Row],[VALOR FATURADO]]</f>
        <v>0</v>
      </c>
      <c r="AL46" s="3" t="str">
        <f>IF(AND(C46&gt;=CALENDARIO!$B$2,C46&lt;=CALENDARIO!$C$2),"JANEIRO",IF(AND(C46&gt;=CALENDARIO!$B$3,C46&lt;=CALENDARIO!$C$3),"FEVEREIRO",IF(AND(C46&gt;=CALENDARIO!$B$4,C46&lt;=CALENDARIO!$C$4),"MARÇO",IF(AND(C46&gt;=CALENDARIO!$B$5,C46&lt;=CALENDARIO!$C$5),"ABRIL",IF(AND(C46&gt;=CALENDARIO!$B$6,C46&lt;=CALENDARIO!$C$6),"MAIO",IF(AND(C46&gt;=CALENDARIO!$B$7,C46&lt;=CALENDARIO!$C$7),"JUNHO",IF(AND(C46&gt;=CALENDARIO!$B$8,C46&lt;=CALENDARIO!$C$8),"JULHO",IF(AND(C46&gt;=CALENDARIO!$B$9,C46&lt;=CALENDARIO!$C$9),"AGOSTO",IF(AND(C46&gt;=CALENDARIO!$B$10,C46&lt;=CALENDARIO!$C$10),"SETEMBRO",IF(AND(C46&gt;=CALENDARIO!$B$11,C46&lt;=CALENDARIO!$C$11),"OUTUBRO",IF(AND(C46&gt;=CALENDARIO!$B$12,C46&lt;=CALENDARIO!$C$12),"NOVEMBRO",IF(AND(C46&gt;=CALENDARIO!$B$13,C46&lt;=CALENDARIO!$C$13),"DEZEMBRO","-"))))))))))))</f>
        <v>-</v>
      </c>
      <c r="AM46" s="3" t="str">
        <f>RIGHT(LAN_OP[[#This Row],[OP/OS]],4)</f>
        <v/>
      </c>
    </row>
    <row r="47" spans="2:39" x14ac:dyDescent="0.3">
      <c r="B47" s="80"/>
      <c r="C47" s="140"/>
      <c r="G47"/>
      <c r="H47"/>
      <c r="I47" s="3"/>
      <c r="J47" s="3"/>
      <c r="K47" s="11" t="e">
        <f>LAN_OP[[#This Row],[VALOR FATURADO]]/LAN_OP[[#This Row],[VALOR CONTRATO]]</f>
        <v>#DIV/0!</v>
      </c>
      <c r="L47" s="4">
        <f>LAN_OP[[#This Row],[VALOR CONTRATO]]-LAN_OP[[#This Row],[VALOR FATURADO]]</f>
        <v>0</v>
      </c>
      <c r="M47" s="11" t="e">
        <v>#DIV/0!</v>
      </c>
      <c r="N47" s="138"/>
      <c r="O47" s="138"/>
      <c r="P47" s="11"/>
      <c r="Q47" s="141"/>
      <c r="R47" s="3"/>
      <c r="S47" s="4"/>
      <c r="T47" s="8" t="str">
        <f>IFERROR(VLOOKUP(LAN_OP[[#This Row],[OP/OS]],LANC_FAT!A:M,2,0),"-")</f>
        <v>-</v>
      </c>
      <c r="U47" s="139" t="str">
        <f>IFERROR(VLOOKUP(LAN_OP[[#This Row],[OP/OS]],LANC_FAT!A:M,8,0),"-")</f>
        <v>-</v>
      </c>
      <c r="V47" s="10">
        <f>SUMIF(LANC_FAT[OP/OS],LAN_OP[[#This Row],[OP/OS]],LANC_FAT[VALOR DA NF COM IMPOSTO])</f>
        <v>0</v>
      </c>
      <c r="W47" s="3"/>
      <c r="X47" s="10">
        <f>SUMIF(LANC_COMPRA[OP/OS],LAN_OP[[#This Row],[OP/OS]],LANC_COMPRA[[VALOR ]])</f>
        <v>0</v>
      </c>
      <c r="Y47" s="10">
        <f>SUMIF(LANC_HORAS[OP/OS],LAN_OP[[#This Row],[OP/OS]],LANC_HORAS[TOTAL GERAL NORMAL])</f>
        <v>0</v>
      </c>
      <c r="Z47" s="10">
        <f>SUMIF(LANC_HORAS[OP/OS],LAN_OP[[#This Row],[OP/OS]],LANC_HORAS[TOTAL GERAL EXTRAS])</f>
        <v>0</v>
      </c>
      <c r="AA47" s="12">
        <f>SUMIF(LANC_HORAS[OP/OS],LAN_OP[[#This Row],[OP/OS]],LANC_HORAS[TOTAL H.N])</f>
        <v>0</v>
      </c>
      <c r="AB47" s="12">
        <f>SUMIF(LANC_HORAS[OP/OS],LAN_OP[[#This Row],[OP/OS]],LANC_HORAS[TOTAL H.E])</f>
        <v>0</v>
      </c>
      <c r="AC47" s="10">
        <f>SUMIF(LANC_DESPESAS[OS/OP],LAN_OP[[#This Row],[OP/OS]],LANC_DESPESAS[OBSERVAÇÕES])</f>
        <v>0</v>
      </c>
      <c r="AD47" s="3">
        <f>SUMIF(LANC_DESLOC[OS/OP],LAN_OP[[#This Row],[OP/OS]],LANC_DESLOC[ANO])</f>
        <v>0</v>
      </c>
      <c r="AE4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7" s="3">
        <f>LAN_OP[[#This Row],[TOTAL PARCIAL (M.O+MT+DESP)]]*1.08</f>
        <v>0</v>
      </c>
      <c r="AG47" s="3">
        <f>LAN_OP[[#This Row],[TOTAL PARCIAL + OUTROS CUSTOS (8%)]]*1.09</f>
        <v>0</v>
      </c>
      <c r="AH47" t="str">
        <f>IF(AND(U47&gt;=CALENDARIO!$B$2,U47&lt;=CALENDARIO!$C$2),"JANEIRO",IF(AND(U47&gt;=CALENDARIO!$B$3,U47&lt;=CALENDARIO!$C$3),"FEVEREIRO",IF(AND(U47&gt;=CALENDARIO!$B$4,U47&lt;=CALENDARIO!$C$4),"MARÇO",IF(AND(U47&gt;=CALENDARIO!$B$5,U47&lt;=CALENDARIO!$C$5),"ABRIL",IF(AND(U47&gt;=CALENDARIO!$B$6,U47&lt;=CALENDARIO!$C$6),"MAIO",IF(AND(U47&gt;=CALENDARIO!$B$7,U47&lt;=CALENDARIO!$C$7),"JUNHO",IF(AND(U47&gt;=CALENDARIO!$B$8,U47&lt;=CALENDARIO!$C$8),"JULHO",IF(AND(U47&gt;=CALENDARIO!$B$9,U47&lt;=CALENDARIO!$C$9),"AGOSTO",IF(AND(U47&gt;=CALENDARIO!$B$10,U47&lt;=CALENDARIO!$C$10),"SETEMBRO",IF(AND(U47&gt;=CALENDARIO!$B$11,U47&lt;=CALENDARIO!$C$11),"OUTUBRO",IF(AND(U47&gt;=CALENDARIO!$B$12,U47&lt;=CALENDARIO!$C$12),"NOVEMBRO",IF(AND(U47&gt;=CALENDARIO!$B$13,U47&lt;=CALENDARIO!$C$13),"DEZEMBRO","-"))))))))))))</f>
        <v>-</v>
      </c>
      <c r="AI47" s="3">
        <f>LAN_OP[[#This Row],[VALOR CONTRATO]]-LAN_OP[[#This Row],[TOTAL CUSTO (O.C + DI + MT + MO+DESP)]]</f>
        <v>0</v>
      </c>
      <c r="AJ47" s="11" t="str">
        <f>IFERROR(LAN_OP[[#This Row],[R$ (CONTRATO - CUSTOS)]]/LAN_OP[[#This Row],[VALOR CONTRATO]],"")</f>
        <v/>
      </c>
      <c r="AK47" s="3">
        <f>LAN_OP[[#This Row],[VALOR CONTRATO]]-LAN_OP[[#This Row],[VALOR FATURADO]]</f>
        <v>0</v>
      </c>
      <c r="AL47" s="3" t="str">
        <f>IF(AND(C47&gt;=CALENDARIO!$B$2,C47&lt;=CALENDARIO!$C$2),"JANEIRO",IF(AND(C47&gt;=CALENDARIO!$B$3,C47&lt;=CALENDARIO!$C$3),"FEVEREIRO",IF(AND(C47&gt;=CALENDARIO!$B$4,C47&lt;=CALENDARIO!$C$4),"MARÇO",IF(AND(C47&gt;=CALENDARIO!$B$5,C47&lt;=CALENDARIO!$C$5),"ABRIL",IF(AND(C47&gt;=CALENDARIO!$B$6,C47&lt;=CALENDARIO!$C$6),"MAIO",IF(AND(C47&gt;=CALENDARIO!$B$7,C47&lt;=CALENDARIO!$C$7),"JUNHO",IF(AND(C47&gt;=CALENDARIO!$B$8,C47&lt;=CALENDARIO!$C$8),"JULHO",IF(AND(C47&gt;=CALENDARIO!$B$9,C47&lt;=CALENDARIO!$C$9),"AGOSTO",IF(AND(C47&gt;=CALENDARIO!$B$10,C47&lt;=CALENDARIO!$C$10),"SETEMBRO",IF(AND(C47&gt;=CALENDARIO!$B$11,C47&lt;=CALENDARIO!$C$11),"OUTUBRO",IF(AND(C47&gt;=CALENDARIO!$B$12,C47&lt;=CALENDARIO!$C$12),"NOVEMBRO",IF(AND(C47&gt;=CALENDARIO!$B$13,C47&lt;=CALENDARIO!$C$13),"DEZEMBRO","-"))))))))))))</f>
        <v>-</v>
      </c>
      <c r="AM47" s="3" t="str">
        <f>RIGHT(LAN_OP[[#This Row],[OP/OS]],4)</f>
        <v/>
      </c>
    </row>
    <row r="48" spans="2:39" x14ac:dyDescent="0.3">
      <c r="B48" s="80"/>
      <c r="C48" s="140"/>
      <c r="G48"/>
      <c r="H48"/>
      <c r="I48" s="3"/>
      <c r="J48" s="3"/>
      <c r="K48" s="11" t="e">
        <f>LAN_OP[[#This Row],[VALOR FATURADO]]/LAN_OP[[#This Row],[VALOR CONTRATO]]</f>
        <v>#DIV/0!</v>
      </c>
      <c r="L48" s="4">
        <f>LAN_OP[[#This Row],[VALOR CONTRATO]]-LAN_OP[[#This Row],[VALOR FATURADO]]</f>
        <v>0</v>
      </c>
      <c r="M48" s="11" t="e">
        <v>#DIV/0!</v>
      </c>
      <c r="N48" s="138"/>
      <c r="O48" s="138"/>
      <c r="P48" s="11"/>
      <c r="Q48" s="141"/>
      <c r="R48" s="3"/>
      <c r="S48" s="4"/>
      <c r="T48" s="8" t="str">
        <f>IFERROR(VLOOKUP(LAN_OP[[#This Row],[OP/OS]],LANC_FAT!A:M,2,0),"-")</f>
        <v>-</v>
      </c>
      <c r="U48" s="139" t="str">
        <f>IFERROR(VLOOKUP(LAN_OP[[#This Row],[OP/OS]],LANC_FAT!A:M,8,0),"-")</f>
        <v>-</v>
      </c>
      <c r="V48" s="10">
        <f>SUMIF(LANC_FAT[OP/OS],LAN_OP[[#This Row],[OP/OS]],LANC_FAT[VALOR DA NF COM IMPOSTO])</f>
        <v>0</v>
      </c>
      <c r="W48" s="3"/>
      <c r="X48" s="10">
        <f>SUMIF(LANC_COMPRA[OP/OS],LAN_OP[[#This Row],[OP/OS]],LANC_COMPRA[[VALOR ]])</f>
        <v>0</v>
      </c>
      <c r="Y48" s="10">
        <f>SUMIF(LANC_HORAS[OP/OS],LAN_OP[[#This Row],[OP/OS]],LANC_HORAS[TOTAL GERAL NORMAL])</f>
        <v>0</v>
      </c>
      <c r="Z48" s="10">
        <f>SUMIF(LANC_HORAS[OP/OS],LAN_OP[[#This Row],[OP/OS]],LANC_HORAS[TOTAL GERAL EXTRAS])</f>
        <v>0</v>
      </c>
      <c r="AA48" s="12">
        <f>SUMIF(LANC_HORAS[OP/OS],LAN_OP[[#This Row],[OP/OS]],LANC_HORAS[TOTAL H.N])</f>
        <v>0</v>
      </c>
      <c r="AB48" s="12">
        <f>SUMIF(LANC_HORAS[OP/OS],LAN_OP[[#This Row],[OP/OS]],LANC_HORAS[TOTAL H.E])</f>
        <v>0</v>
      </c>
      <c r="AC48" s="10">
        <f>SUMIF(LANC_DESPESAS[OS/OP],LAN_OP[[#This Row],[OP/OS]],LANC_DESPESAS[OBSERVAÇÕES])</f>
        <v>0</v>
      </c>
      <c r="AD48" s="3">
        <f>SUMIF(LANC_DESLOC[OS/OP],LAN_OP[[#This Row],[OP/OS]],LANC_DESLOC[ANO])</f>
        <v>0</v>
      </c>
      <c r="AE4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8" s="3">
        <f>LAN_OP[[#This Row],[TOTAL PARCIAL (M.O+MT+DESP)]]*1.08</f>
        <v>0</v>
      </c>
      <c r="AG48" s="3">
        <f>LAN_OP[[#This Row],[TOTAL PARCIAL + OUTROS CUSTOS (8%)]]*1.09</f>
        <v>0</v>
      </c>
      <c r="AH48" t="str">
        <f>IF(AND(U48&gt;=CALENDARIO!$B$2,U48&lt;=CALENDARIO!$C$2),"JANEIRO",IF(AND(U48&gt;=CALENDARIO!$B$3,U48&lt;=CALENDARIO!$C$3),"FEVEREIRO",IF(AND(U48&gt;=CALENDARIO!$B$4,U48&lt;=CALENDARIO!$C$4),"MARÇO",IF(AND(U48&gt;=CALENDARIO!$B$5,U48&lt;=CALENDARIO!$C$5),"ABRIL",IF(AND(U48&gt;=CALENDARIO!$B$6,U48&lt;=CALENDARIO!$C$6),"MAIO",IF(AND(U48&gt;=CALENDARIO!$B$7,U48&lt;=CALENDARIO!$C$7),"JUNHO",IF(AND(U48&gt;=CALENDARIO!$B$8,U48&lt;=CALENDARIO!$C$8),"JULHO",IF(AND(U48&gt;=CALENDARIO!$B$9,U48&lt;=CALENDARIO!$C$9),"AGOSTO",IF(AND(U48&gt;=CALENDARIO!$B$10,U48&lt;=CALENDARIO!$C$10),"SETEMBRO",IF(AND(U48&gt;=CALENDARIO!$B$11,U48&lt;=CALENDARIO!$C$11),"OUTUBRO",IF(AND(U48&gt;=CALENDARIO!$B$12,U48&lt;=CALENDARIO!$C$12),"NOVEMBRO",IF(AND(U48&gt;=CALENDARIO!$B$13,U48&lt;=CALENDARIO!$C$13),"DEZEMBRO","-"))))))))))))</f>
        <v>-</v>
      </c>
      <c r="AI48" s="3">
        <f>LAN_OP[[#This Row],[VALOR CONTRATO]]-LAN_OP[[#This Row],[TOTAL CUSTO (O.C + DI + MT + MO+DESP)]]</f>
        <v>0</v>
      </c>
      <c r="AJ48" s="11" t="str">
        <f>IFERROR(LAN_OP[[#This Row],[R$ (CONTRATO - CUSTOS)]]/LAN_OP[[#This Row],[VALOR CONTRATO]],"")</f>
        <v/>
      </c>
      <c r="AK48" s="3">
        <f>LAN_OP[[#This Row],[VALOR CONTRATO]]-LAN_OP[[#This Row],[VALOR FATURADO]]</f>
        <v>0</v>
      </c>
      <c r="AL48" s="3" t="str">
        <f>IF(AND(C48&gt;=CALENDARIO!$B$2,C48&lt;=CALENDARIO!$C$2),"JANEIRO",IF(AND(C48&gt;=CALENDARIO!$B$3,C48&lt;=CALENDARIO!$C$3),"FEVEREIRO",IF(AND(C48&gt;=CALENDARIO!$B$4,C48&lt;=CALENDARIO!$C$4),"MARÇO",IF(AND(C48&gt;=CALENDARIO!$B$5,C48&lt;=CALENDARIO!$C$5),"ABRIL",IF(AND(C48&gt;=CALENDARIO!$B$6,C48&lt;=CALENDARIO!$C$6),"MAIO",IF(AND(C48&gt;=CALENDARIO!$B$7,C48&lt;=CALENDARIO!$C$7),"JUNHO",IF(AND(C48&gt;=CALENDARIO!$B$8,C48&lt;=CALENDARIO!$C$8),"JULHO",IF(AND(C48&gt;=CALENDARIO!$B$9,C48&lt;=CALENDARIO!$C$9),"AGOSTO",IF(AND(C48&gt;=CALENDARIO!$B$10,C48&lt;=CALENDARIO!$C$10),"SETEMBRO",IF(AND(C48&gt;=CALENDARIO!$B$11,C48&lt;=CALENDARIO!$C$11),"OUTUBRO",IF(AND(C48&gt;=CALENDARIO!$B$12,C48&lt;=CALENDARIO!$C$12),"NOVEMBRO",IF(AND(C48&gt;=CALENDARIO!$B$13,C48&lt;=CALENDARIO!$C$13),"DEZEMBRO","-"))))))))))))</f>
        <v>-</v>
      </c>
      <c r="AM48" s="3" t="str">
        <f>RIGHT(LAN_OP[[#This Row],[OP/OS]],4)</f>
        <v/>
      </c>
    </row>
    <row r="49" spans="2:39" x14ac:dyDescent="0.3">
      <c r="B49" s="80"/>
      <c r="C49" s="140"/>
      <c r="G49"/>
      <c r="H49"/>
      <c r="I49" s="3"/>
      <c r="J49" s="3"/>
      <c r="K49" s="11" t="e">
        <f>LAN_OP[[#This Row],[VALOR FATURADO]]/LAN_OP[[#This Row],[VALOR CONTRATO]]</f>
        <v>#DIV/0!</v>
      </c>
      <c r="L49" s="4">
        <f>LAN_OP[[#This Row],[VALOR CONTRATO]]-LAN_OP[[#This Row],[VALOR FATURADO]]</f>
        <v>0</v>
      </c>
      <c r="M49" s="11" t="e">
        <v>#DIV/0!</v>
      </c>
      <c r="N49" s="138"/>
      <c r="O49" s="138"/>
      <c r="P49" s="11"/>
      <c r="Q49" s="141"/>
      <c r="R49" s="3"/>
      <c r="S49" s="4"/>
      <c r="T49" s="8" t="str">
        <f>IFERROR(VLOOKUP(LAN_OP[[#This Row],[OP/OS]],LANC_FAT!A:M,2,0),"-")</f>
        <v>-</v>
      </c>
      <c r="U49" s="139" t="str">
        <f>IFERROR(VLOOKUP(LAN_OP[[#This Row],[OP/OS]],LANC_FAT!A:M,8,0),"-")</f>
        <v>-</v>
      </c>
      <c r="V49" s="10">
        <f>SUMIF(LANC_FAT[OP/OS],LAN_OP[[#This Row],[OP/OS]],LANC_FAT[VALOR DA NF COM IMPOSTO])</f>
        <v>0</v>
      </c>
      <c r="W49" s="3"/>
      <c r="X49" s="10">
        <f>SUMIF(LANC_COMPRA[OP/OS],LAN_OP[[#This Row],[OP/OS]],LANC_COMPRA[[VALOR ]])</f>
        <v>0</v>
      </c>
      <c r="Y49" s="10">
        <f>SUMIF(LANC_HORAS[OP/OS],LAN_OP[[#This Row],[OP/OS]],LANC_HORAS[TOTAL GERAL NORMAL])</f>
        <v>0</v>
      </c>
      <c r="Z49" s="10">
        <f>SUMIF(LANC_HORAS[OP/OS],LAN_OP[[#This Row],[OP/OS]],LANC_HORAS[TOTAL GERAL EXTRAS])</f>
        <v>0</v>
      </c>
      <c r="AA49" s="12">
        <f>SUMIF(LANC_HORAS[OP/OS],LAN_OP[[#This Row],[OP/OS]],LANC_HORAS[TOTAL H.N])</f>
        <v>0</v>
      </c>
      <c r="AB49" s="12">
        <f>SUMIF(LANC_HORAS[OP/OS],LAN_OP[[#This Row],[OP/OS]],LANC_HORAS[TOTAL H.E])</f>
        <v>0</v>
      </c>
      <c r="AC49" s="10">
        <f>SUMIF(LANC_DESPESAS[OS/OP],LAN_OP[[#This Row],[OP/OS]],LANC_DESPESAS[OBSERVAÇÕES])</f>
        <v>0</v>
      </c>
      <c r="AD49" s="3">
        <f>SUMIF(LANC_DESLOC[OS/OP],LAN_OP[[#This Row],[OP/OS]],LANC_DESLOC[ANO])</f>
        <v>0</v>
      </c>
      <c r="AE4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49" s="3">
        <f>LAN_OP[[#This Row],[TOTAL PARCIAL (M.O+MT+DESP)]]*1.08</f>
        <v>0</v>
      </c>
      <c r="AG49" s="3">
        <f>LAN_OP[[#This Row],[TOTAL PARCIAL + OUTROS CUSTOS (8%)]]*1.09</f>
        <v>0</v>
      </c>
      <c r="AH49" t="str">
        <f>IF(AND(U49&gt;=CALENDARIO!$B$2,U49&lt;=CALENDARIO!$C$2),"JANEIRO",IF(AND(U49&gt;=CALENDARIO!$B$3,U49&lt;=CALENDARIO!$C$3),"FEVEREIRO",IF(AND(U49&gt;=CALENDARIO!$B$4,U49&lt;=CALENDARIO!$C$4),"MARÇO",IF(AND(U49&gt;=CALENDARIO!$B$5,U49&lt;=CALENDARIO!$C$5),"ABRIL",IF(AND(U49&gt;=CALENDARIO!$B$6,U49&lt;=CALENDARIO!$C$6),"MAIO",IF(AND(U49&gt;=CALENDARIO!$B$7,U49&lt;=CALENDARIO!$C$7),"JUNHO",IF(AND(U49&gt;=CALENDARIO!$B$8,U49&lt;=CALENDARIO!$C$8),"JULHO",IF(AND(U49&gt;=CALENDARIO!$B$9,U49&lt;=CALENDARIO!$C$9),"AGOSTO",IF(AND(U49&gt;=CALENDARIO!$B$10,U49&lt;=CALENDARIO!$C$10),"SETEMBRO",IF(AND(U49&gt;=CALENDARIO!$B$11,U49&lt;=CALENDARIO!$C$11),"OUTUBRO",IF(AND(U49&gt;=CALENDARIO!$B$12,U49&lt;=CALENDARIO!$C$12),"NOVEMBRO",IF(AND(U49&gt;=CALENDARIO!$B$13,U49&lt;=CALENDARIO!$C$13),"DEZEMBRO","-"))))))))))))</f>
        <v>-</v>
      </c>
      <c r="AI49" s="3">
        <f>LAN_OP[[#This Row],[VALOR CONTRATO]]-LAN_OP[[#This Row],[TOTAL CUSTO (O.C + DI + MT + MO+DESP)]]</f>
        <v>0</v>
      </c>
      <c r="AJ49" s="11" t="str">
        <f>IFERROR(LAN_OP[[#This Row],[R$ (CONTRATO - CUSTOS)]]/LAN_OP[[#This Row],[VALOR CONTRATO]],"")</f>
        <v/>
      </c>
      <c r="AK49" s="3">
        <f>LAN_OP[[#This Row],[VALOR CONTRATO]]-LAN_OP[[#This Row],[VALOR FATURADO]]</f>
        <v>0</v>
      </c>
      <c r="AL49" s="3" t="str">
        <f>IF(AND(C49&gt;=CALENDARIO!$B$2,C49&lt;=CALENDARIO!$C$2),"JANEIRO",IF(AND(C49&gt;=CALENDARIO!$B$3,C49&lt;=CALENDARIO!$C$3),"FEVEREIRO",IF(AND(C49&gt;=CALENDARIO!$B$4,C49&lt;=CALENDARIO!$C$4),"MARÇO",IF(AND(C49&gt;=CALENDARIO!$B$5,C49&lt;=CALENDARIO!$C$5),"ABRIL",IF(AND(C49&gt;=CALENDARIO!$B$6,C49&lt;=CALENDARIO!$C$6),"MAIO",IF(AND(C49&gt;=CALENDARIO!$B$7,C49&lt;=CALENDARIO!$C$7),"JUNHO",IF(AND(C49&gt;=CALENDARIO!$B$8,C49&lt;=CALENDARIO!$C$8),"JULHO",IF(AND(C49&gt;=CALENDARIO!$B$9,C49&lt;=CALENDARIO!$C$9),"AGOSTO",IF(AND(C49&gt;=CALENDARIO!$B$10,C49&lt;=CALENDARIO!$C$10),"SETEMBRO",IF(AND(C49&gt;=CALENDARIO!$B$11,C49&lt;=CALENDARIO!$C$11),"OUTUBRO",IF(AND(C49&gt;=CALENDARIO!$B$12,C49&lt;=CALENDARIO!$C$12),"NOVEMBRO",IF(AND(C49&gt;=CALENDARIO!$B$13,C49&lt;=CALENDARIO!$C$13),"DEZEMBRO","-"))))))))))))</f>
        <v>-</v>
      </c>
      <c r="AM49" s="3" t="str">
        <f>RIGHT(LAN_OP[[#This Row],[OP/OS]],4)</f>
        <v/>
      </c>
    </row>
    <row r="50" spans="2:39" x14ac:dyDescent="0.3">
      <c r="B50" s="80"/>
      <c r="C50" s="140"/>
      <c r="G50"/>
      <c r="H50"/>
      <c r="I50" s="3"/>
      <c r="J50" s="3"/>
      <c r="K50" s="11" t="e">
        <f>LAN_OP[[#This Row],[VALOR FATURADO]]/LAN_OP[[#This Row],[VALOR CONTRATO]]</f>
        <v>#DIV/0!</v>
      </c>
      <c r="L50" s="4">
        <f>LAN_OP[[#This Row],[VALOR CONTRATO]]-LAN_OP[[#This Row],[VALOR FATURADO]]</f>
        <v>0</v>
      </c>
      <c r="M50" s="11" t="e">
        <v>#DIV/0!</v>
      </c>
      <c r="N50" s="138"/>
      <c r="O50" s="138"/>
      <c r="P50" s="11"/>
      <c r="Q50" s="141"/>
      <c r="R50" s="3"/>
      <c r="S50" s="4"/>
      <c r="T50" s="8" t="str">
        <f>IFERROR(VLOOKUP(LAN_OP[[#This Row],[OP/OS]],LANC_FAT!A:M,2,0),"-")</f>
        <v>-</v>
      </c>
      <c r="U50" s="139" t="str">
        <f>IFERROR(VLOOKUP(LAN_OP[[#This Row],[OP/OS]],LANC_FAT!A:M,8,0),"-")</f>
        <v>-</v>
      </c>
      <c r="V50" s="10">
        <f>SUMIF(LANC_FAT[OP/OS],LAN_OP[[#This Row],[OP/OS]],LANC_FAT[VALOR DA NF COM IMPOSTO])</f>
        <v>0</v>
      </c>
      <c r="W50" s="3"/>
      <c r="X50" s="10">
        <f>SUMIF(LANC_COMPRA[OP/OS],LAN_OP[[#This Row],[OP/OS]],LANC_COMPRA[[VALOR ]])</f>
        <v>0</v>
      </c>
      <c r="Y50" s="10">
        <f>SUMIF(LANC_HORAS[OP/OS],LAN_OP[[#This Row],[OP/OS]],LANC_HORAS[TOTAL GERAL NORMAL])</f>
        <v>0</v>
      </c>
      <c r="Z50" s="10">
        <f>SUMIF(LANC_HORAS[OP/OS],LAN_OP[[#This Row],[OP/OS]],LANC_HORAS[TOTAL GERAL EXTRAS])</f>
        <v>0</v>
      </c>
      <c r="AA50" s="12">
        <f>SUMIF(LANC_HORAS[OP/OS],LAN_OP[[#This Row],[OP/OS]],LANC_HORAS[TOTAL H.N])</f>
        <v>0</v>
      </c>
      <c r="AB50" s="12">
        <f>SUMIF(LANC_HORAS[OP/OS],LAN_OP[[#This Row],[OP/OS]],LANC_HORAS[TOTAL H.E])</f>
        <v>0</v>
      </c>
      <c r="AC50" s="10">
        <f>SUMIF(LANC_DESPESAS[OS/OP],LAN_OP[[#This Row],[OP/OS]],LANC_DESPESAS[OBSERVAÇÕES])</f>
        <v>0</v>
      </c>
      <c r="AD50" s="3">
        <f>SUMIF(LANC_DESLOC[OS/OP],LAN_OP[[#This Row],[OP/OS]],LANC_DESLOC[ANO])</f>
        <v>0</v>
      </c>
      <c r="AE5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0" s="3">
        <f>LAN_OP[[#This Row],[TOTAL PARCIAL (M.O+MT+DESP)]]*1.08</f>
        <v>0</v>
      </c>
      <c r="AG50" s="3">
        <f>LAN_OP[[#This Row],[TOTAL PARCIAL + OUTROS CUSTOS (8%)]]*1.09</f>
        <v>0</v>
      </c>
      <c r="AH50" t="str">
        <f>IF(AND(U50&gt;=CALENDARIO!$B$2,U50&lt;=CALENDARIO!$C$2),"JANEIRO",IF(AND(U50&gt;=CALENDARIO!$B$3,U50&lt;=CALENDARIO!$C$3),"FEVEREIRO",IF(AND(U50&gt;=CALENDARIO!$B$4,U50&lt;=CALENDARIO!$C$4),"MARÇO",IF(AND(U50&gt;=CALENDARIO!$B$5,U50&lt;=CALENDARIO!$C$5),"ABRIL",IF(AND(U50&gt;=CALENDARIO!$B$6,U50&lt;=CALENDARIO!$C$6),"MAIO",IF(AND(U50&gt;=CALENDARIO!$B$7,U50&lt;=CALENDARIO!$C$7),"JUNHO",IF(AND(U50&gt;=CALENDARIO!$B$8,U50&lt;=CALENDARIO!$C$8),"JULHO",IF(AND(U50&gt;=CALENDARIO!$B$9,U50&lt;=CALENDARIO!$C$9),"AGOSTO",IF(AND(U50&gt;=CALENDARIO!$B$10,U50&lt;=CALENDARIO!$C$10),"SETEMBRO",IF(AND(U50&gt;=CALENDARIO!$B$11,U50&lt;=CALENDARIO!$C$11),"OUTUBRO",IF(AND(U50&gt;=CALENDARIO!$B$12,U50&lt;=CALENDARIO!$C$12),"NOVEMBRO",IF(AND(U50&gt;=CALENDARIO!$B$13,U50&lt;=CALENDARIO!$C$13),"DEZEMBRO","-"))))))))))))</f>
        <v>-</v>
      </c>
      <c r="AI50" s="3">
        <f>LAN_OP[[#This Row],[VALOR CONTRATO]]-LAN_OP[[#This Row],[TOTAL CUSTO (O.C + DI + MT + MO+DESP)]]</f>
        <v>0</v>
      </c>
      <c r="AJ50" s="11" t="str">
        <f>IFERROR(LAN_OP[[#This Row],[R$ (CONTRATO - CUSTOS)]]/LAN_OP[[#This Row],[VALOR CONTRATO]],"")</f>
        <v/>
      </c>
      <c r="AK50" s="3">
        <f>LAN_OP[[#This Row],[VALOR CONTRATO]]-LAN_OP[[#This Row],[VALOR FATURADO]]</f>
        <v>0</v>
      </c>
      <c r="AL50" s="3" t="str">
        <f>IF(AND(C50&gt;=CALENDARIO!$B$2,C50&lt;=CALENDARIO!$C$2),"JANEIRO",IF(AND(C50&gt;=CALENDARIO!$B$3,C50&lt;=CALENDARIO!$C$3),"FEVEREIRO",IF(AND(C50&gt;=CALENDARIO!$B$4,C50&lt;=CALENDARIO!$C$4),"MARÇO",IF(AND(C50&gt;=CALENDARIO!$B$5,C50&lt;=CALENDARIO!$C$5),"ABRIL",IF(AND(C50&gt;=CALENDARIO!$B$6,C50&lt;=CALENDARIO!$C$6),"MAIO",IF(AND(C50&gt;=CALENDARIO!$B$7,C50&lt;=CALENDARIO!$C$7),"JUNHO",IF(AND(C50&gt;=CALENDARIO!$B$8,C50&lt;=CALENDARIO!$C$8),"JULHO",IF(AND(C50&gt;=CALENDARIO!$B$9,C50&lt;=CALENDARIO!$C$9),"AGOSTO",IF(AND(C50&gt;=CALENDARIO!$B$10,C50&lt;=CALENDARIO!$C$10),"SETEMBRO",IF(AND(C50&gt;=CALENDARIO!$B$11,C50&lt;=CALENDARIO!$C$11),"OUTUBRO",IF(AND(C50&gt;=CALENDARIO!$B$12,C50&lt;=CALENDARIO!$C$12),"NOVEMBRO",IF(AND(C50&gt;=CALENDARIO!$B$13,C50&lt;=CALENDARIO!$C$13),"DEZEMBRO","-"))))))))))))</f>
        <v>-</v>
      </c>
      <c r="AM50" s="3" t="str">
        <f>RIGHT(LAN_OP[[#This Row],[OP/OS]],4)</f>
        <v/>
      </c>
    </row>
    <row r="51" spans="2:39" x14ac:dyDescent="0.3">
      <c r="B51" s="80"/>
      <c r="C51" s="140"/>
      <c r="G51"/>
      <c r="H51"/>
      <c r="I51" s="3"/>
      <c r="J51" s="3"/>
      <c r="K51" s="11" t="e">
        <f>LAN_OP[[#This Row],[VALOR FATURADO]]/LAN_OP[[#This Row],[VALOR CONTRATO]]</f>
        <v>#DIV/0!</v>
      </c>
      <c r="L51" s="4">
        <f>LAN_OP[[#This Row],[VALOR CONTRATO]]-LAN_OP[[#This Row],[VALOR FATURADO]]</f>
        <v>0</v>
      </c>
      <c r="M51" s="11" t="e">
        <v>#DIV/0!</v>
      </c>
      <c r="N51" s="138"/>
      <c r="O51" s="138"/>
      <c r="P51" s="11"/>
      <c r="Q51" s="141"/>
      <c r="R51" s="3"/>
      <c r="S51" s="4"/>
      <c r="T51" s="8" t="str">
        <f>IFERROR(VLOOKUP(LAN_OP[[#This Row],[OP/OS]],LANC_FAT!A:M,2,0),"-")</f>
        <v>-</v>
      </c>
      <c r="U51" s="139" t="str">
        <f>IFERROR(VLOOKUP(LAN_OP[[#This Row],[OP/OS]],LANC_FAT!A:M,8,0),"-")</f>
        <v>-</v>
      </c>
      <c r="V51" s="10">
        <f>SUMIF(LANC_FAT[OP/OS],LAN_OP[[#This Row],[OP/OS]],LANC_FAT[VALOR DA NF COM IMPOSTO])</f>
        <v>0</v>
      </c>
      <c r="W51" s="3"/>
      <c r="X51" s="10">
        <f>SUMIF(LANC_COMPRA[OP/OS],LAN_OP[[#This Row],[OP/OS]],LANC_COMPRA[[VALOR ]])</f>
        <v>0</v>
      </c>
      <c r="Y51" s="10">
        <f>SUMIF(LANC_HORAS[OP/OS],LAN_OP[[#This Row],[OP/OS]],LANC_HORAS[TOTAL GERAL NORMAL])</f>
        <v>0</v>
      </c>
      <c r="Z51" s="10">
        <f>SUMIF(LANC_HORAS[OP/OS],LAN_OP[[#This Row],[OP/OS]],LANC_HORAS[TOTAL GERAL EXTRAS])</f>
        <v>0</v>
      </c>
      <c r="AA51" s="12">
        <f>SUMIF(LANC_HORAS[OP/OS],LAN_OP[[#This Row],[OP/OS]],LANC_HORAS[TOTAL H.N])</f>
        <v>0</v>
      </c>
      <c r="AB51" s="12">
        <f>SUMIF(LANC_HORAS[OP/OS],LAN_OP[[#This Row],[OP/OS]],LANC_HORAS[TOTAL H.E])</f>
        <v>0</v>
      </c>
      <c r="AC51" s="10">
        <f>SUMIF(LANC_DESPESAS[OS/OP],LAN_OP[[#This Row],[OP/OS]],LANC_DESPESAS[OBSERVAÇÕES])</f>
        <v>0</v>
      </c>
      <c r="AD51" s="3">
        <f>SUMIF(LANC_DESLOC[OS/OP],LAN_OP[[#This Row],[OP/OS]],LANC_DESLOC[ANO])</f>
        <v>0</v>
      </c>
      <c r="AE5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1" s="3">
        <f>LAN_OP[[#This Row],[TOTAL PARCIAL (M.O+MT+DESP)]]*1.08</f>
        <v>0</v>
      </c>
      <c r="AG51" s="3">
        <f>LAN_OP[[#This Row],[TOTAL PARCIAL + OUTROS CUSTOS (8%)]]*1.09</f>
        <v>0</v>
      </c>
      <c r="AH51" t="str">
        <f>IF(AND(U51&gt;=CALENDARIO!$B$2,U51&lt;=CALENDARIO!$C$2),"JANEIRO",IF(AND(U51&gt;=CALENDARIO!$B$3,U51&lt;=CALENDARIO!$C$3),"FEVEREIRO",IF(AND(U51&gt;=CALENDARIO!$B$4,U51&lt;=CALENDARIO!$C$4),"MARÇO",IF(AND(U51&gt;=CALENDARIO!$B$5,U51&lt;=CALENDARIO!$C$5),"ABRIL",IF(AND(U51&gt;=CALENDARIO!$B$6,U51&lt;=CALENDARIO!$C$6),"MAIO",IF(AND(U51&gt;=CALENDARIO!$B$7,U51&lt;=CALENDARIO!$C$7),"JUNHO",IF(AND(U51&gt;=CALENDARIO!$B$8,U51&lt;=CALENDARIO!$C$8),"JULHO",IF(AND(U51&gt;=CALENDARIO!$B$9,U51&lt;=CALENDARIO!$C$9),"AGOSTO",IF(AND(U51&gt;=CALENDARIO!$B$10,U51&lt;=CALENDARIO!$C$10),"SETEMBRO",IF(AND(U51&gt;=CALENDARIO!$B$11,U51&lt;=CALENDARIO!$C$11),"OUTUBRO",IF(AND(U51&gt;=CALENDARIO!$B$12,U51&lt;=CALENDARIO!$C$12),"NOVEMBRO",IF(AND(U51&gt;=CALENDARIO!$B$13,U51&lt;=CALENDARIO!$C$13),"DEZEMBRO","-"))))))))))))</f>
        <v>-</v>
      </c>
      <c r="AI51" s="3">
        <f>LAN_OP[[#This Row],[VALOR CONTRATO]]-LAN_OP[[#This Row],[TOTAL CUSTO (O.C + DI + MT + MO+DESP)]]</f>
        <v>0</v>
      </c>
      <c r="AJ51" s="11" t="str">
        <f>IFERROR(LAN_OP[[#This Row],[R$ (CONTRATO - CUSTOS)]]/LAN_OP[[#This Row],[VALOR CONTRATO]],"")</f>
        <v/>
      </c>
      <c r="AK51" s="3">
        <f>LAN_OP[[#This Row],[VALOR CONTRATO]]-LAN_OP[[#This Row],[VALOR FATURADO]]</f>
        <v>0</v>
      </c>
      <c r="AL51" s="3" t="str">
        <f>IF(AND(C51&gt;=CALENDARIO!$B$2,C51&lt;=CALENDARIO!$C$2),"JANEIRO",IF(AND(C51&gt;=CALENDARIO!$B$3,C51&lt;=CALENDARIO!$C$3),"FEVEREIRO",IF(AND(C51&gt;=CALENDARIO!$B$4,C51&lt;=CALENDARIO!$C$4),"MARÇO",IF(AND(C51&gt;=CALENDARIO!$B$5,C51&lt;=CALENDARIO!$C$5),"ABRIL",IF(AND(C51&gt;=CALENDARIO!$B$6,C51&lt;=CALENDARIO!$C$6),"MAIO",IF(AND(C51&gt;=CALENDARIO!$B$7,C51&lt;=CALENDARIO!$C$7),"JUNHO",IF(AND(C51&gt;=CALENDARIO!$B$8,C51&lt;=CALENDARIO!$C$8),"JULHO",IF(AND(C51&gt;=CALENDARIO!$B$9,C51&lt;=CALENDARIO!$C$9),"AGOSTO",IF(AND(C51&gt;=CALENDARIO!$B$10,C51&lt;=CALENDARIO!$C$10),"SETEMBRO",IF(AND(C51&gt;=CALENDARIO!$B$11,C51&lt;=CALENDARIO!$C$11),"OUTUBRO",IF(AND(C51&gt;=CALENDARIO!$B$12,C51&lt;=CALENDARIO!$C$12),"NOVEMBRO",IF(AND(C51&gt;=CALENDARIO!$B$13,C51&lt;=CALENDARIO!$C$13),"DEZEMBRO","-"))))))))))))</f>
        <v>-</v>
      </c>
      <c r="AM51" s="3" t="str">
        <f>RIGHT(LAN_OP[[#This Row],[OP/OS]],4)</f>
        <v/>
      </c>
    </row>
    <row r="52" spans="2:39" x14ac:dyDescent="0.3">
      <c r="B52" s="80"/>
      <c r="C52" s="140"/>
      <c r="G52"/>
      <c r="H52"/>
      <c r="I52" s="3"/>
      <c r="J52" s="3"/>
      <c r="K52" s="11" t="e">
        <f>LAN_OP[[#This Row],[VALOR FATURADO]]/LAN_OP[[#This Row],[VALOR CONTRATO]]</f>
        <v>#DIV/0!</v>
      </c>
      <c r="L52" s="4">
        <f>LAN_OP[[#This Row],[VALOR CONTRATO]]-LAN_OP[[#This Row],[VALOR FATURADO]]</f>
        <v>0</v>
      </c>
      <c r="M52" s="11" t="e">
        <v>#DIV/0!</v>
      </c>
      <c r="N52" s="138"/>
      <c r="O52" s="138"/>
      <c r="P52" s="11"/>
      <c r="Q52" s="141"/>
      <c r="R52" s="3"/>
      <c r="S52" s="4"/>
      <c r="T52" s="8" t="str">
        <f>IFERROR(VLOOKUP(LAN_OP[[#This Row],[OP/OS]],LANC_FAT!A:M,2,0),"-")</f>
        <v>-</v>
      </c>
      <c r="U52" s="139" t="str">
        <f>IFERROR(VLOOKUP(LAN_OP[[#This Row],[OP/OS]],LANC_FAT!A:M,8,0),"-")</f>
        <v>-</v>
      </c>
      <c r="V52" s="10">
        <f>SUMIF(LANC_FAT[OP/OS],LAN_OP[[#This Row],[OP/OS]],LANC_FAT[VALOR DA NF COM IMPOSTO])</f>
        <v>0</v>
      </c>
      <c r="W52" s="3"/>
      <c r="X52" s="10">
        <f>SUMIF(LANC_COMPRA[OP/OS],LAN_OP[[#This Row],[OP/OS]],LANC_COMPRA[[VALOR ]])</f>
        <v>0</v>
      </c>
      <c r="Y52" s="10">
        <f>SUMIF(LANC_HORAS[OP/OS],LAN_OP[[#This Row],[OP/OS]],LANC_HORAS[TOTAL GERAL NORMAL])</f>
        <v>0</v>
      </c>
      <c r="Z52" s="10">
        <f>SUMIF(LANC_HORAS[OP/OS],LAN_OP[[#This Row],[OP/OS]],LANC_HORAS[TOTAL GERAL EXTRAS])</f>
        <v>0</v>
      </c>
      <c r="AA52" s="12">
        <f>SUMIF(LANC_HORAS[OP/OS],LAN_OP[[#This Row],[OP/OS]],LANC_HORAS[TOTAL H.N])</f>
        <v>0</v>
      </c>
      <c r="AB52" s="12">
        <f>SUMIF(LANC_HORAS[OP/OS],LAN_OP[[#This Row],[OP/OS]],LANC_HORAS[TOTAL H.E])</f>
        <v>0</v>
      </c>
      <c r="AC52" s="10">
        <f>SUMIF(LANC_DESPESAS[OS/OP],LAN_OP[[#This Row],[OP/OS]],LANC_DESPESAS[OBSERVAÇÕES])</f>
        <v>0</v>
      </c>
      <c r="AD52" s="3">
        <f>SUMIF(LANC_DESLOC[OS/OP],LAN_OP[[#This Row],[OP/OS]],LANC_DESLOC[ANO])</f>
        <v>0</v>
      </c>
      <c r="AE5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2" s="3">
        <f>LAN_OP[[#This Row],[TOTAL PARCIAL (M.O+MT+DESP)]]*1.08</f>
        <v>0</v>
      </c>
      <c r="AG52" s="3">
        <f>LAN_OP[[#This Row],[TOTAL PARCIAL + OUTROS CUSTOS (8%)]]*1.09</f>
        <v>0</v>
      </c>
      <c r="AH52" t="str">
        <f>IF(AND(U52&gt;=CALENDARIO!$B$2,U52&lt;=CALENDARIO!$C$2),"JANEIRO",IF(AND(U52&gt;=CALENDARIO!$B$3,U52&lt;=CALENDARIO!$C$3),"FEVEREIRO",IF(AND(U52&gt;=CALENDARIO!$B$4,U52&lt;=CALENDARIO!$C$4),"MARÇO",IF(AND(U52&gt;=CALENDARIO!$B$5,U52&lt;=CALENDARIO!$C$5),"ABRIL",IF(AND(U52&gt;=CALENDARIO!$B$6,U52&lt;=CALENDARIO!$C$6),"MAIO",IF(AND(U52&gt;=CALENDARIO!$B$7,U52&lt;=CALENDARIO!$C$7),"JUNHO",IF(AND(U52&gt;=CALENDARIO!$B$8,U52&lt;=CALENDARIO!$C$8),"JULHO",IF(AND(U52&gt;=CALENDARIO!$B$9,U52&lt;=CALENDARIO!$C$9),"AGOSTO",IF(AND(U52&gt;=CALENDARIO!$B$10,U52&lt;=CALENDARIO!$C$10),"SETEMBRO",IF(AND(U52&gt;=CALENDARIO!$B$11,U52&lt;=CALENDARIO!$C$11),"OUTUBRO",IF(AND(U52&gt;=CALENDARIO!$B$12,U52&lt;=CALENDARIO!$C$12),"NOVEMBRO",IF(AND(U52&gt;=CALENDARIO!$B$13,U52&lt;=CALENDARIO!$C$13),"DEZEMBRO","-"))))))))))))</f>
        <v>-</v>
      </c>
      <c r="AI52" s="3">
        <f>LAN_OP[[#This Row],[VALOR CONTRATO]]-LAN_OP[[#This Row],[TOTAL CUSTO (O.C + DI + MT + MO+DESP)]]</f>
        <v>0</v>
      </c>
      <c r="AJ52" s="11" t="str">
        <f>IFERROR(LAN_OP[[#This Row],[R$ (CONTRATO - CUSTOS)]]/LAN_OP[[#This Row],[VALOR CONTRATO]],"")</f>
        <v/>
      </c>
      <c r="AK52" s="3">
        <f>LAN_OP[[#This Row],[VALOR CONTRATO]]-LAN_OP[[#This Row],[VALOR FATURADO]]</f>
        <v>0</v>
      </c>
      <c r="AL52" s="3" t="str">
        <f>IF(AND(C52&gt;=CALENDARIO!$B$2,C52&lt;=CALENDARIO!$C$2),"JANEIRO",IF(AND(C52&gt;=CALENDARIO!$B$3,C52&lt;=CALENDARIO!$C$3),"FEVEREIRO",IF(AND(C52&gt;=CALENDARIO!$B$4,C52&lt;=CALENDARIO!$C$4),"MARÇO",IF(AND(C52&gt;=CALENDARIO!$B$5,C52&lt;=CALENDARIO!$C$5),"ABRIL",IF(AND(C52&gt;=CALENDARIO!$B$6,C52&lt;=CALENDARIO!$C$6),"MAIO",IF(AND(C52&gt;=CALENDARIO!$B$7,C52&lt;=CALENDARIO!$C$7),"JUNHO",IF(AND(C52&gt;=CALENDARIO!$B$8,C52&lt;=CALENDARIO!$C$8),"JULHO",IF(AND(C52&gt;=CALENDARIO!$B$9,C52&lt;=CALENDARIO!$C$9),"AGOSTO",IF(AND(C52&gt;=CALENDARIO!$B$10,C52&lt;=CALENDARIO!$C$10),"SETEMBRO",IF(AND(C52&gt;=CALENDARIO!$B$11,C52&lt;=CALENDARIO!$C$11),"OUTUBRO",IF(AND(C52&gt;=CALENDARIO!$B$12,C52&lt;=CALENDARIO!$C$12),"NOVEMBRO",IF(AND(C52&gt;=CALENDARIO!$B$13,C52&lt;=CALENDARIO!$C$13),"DEZEMBRO","-"))))))))))))</f>
        <v>-</v>
      </c>
      <c r="AM52" s="3" t="str">
        <f>RIGHT(LAN_OP[[#This Row],[OP/OS]],4)</f>
        <v/>
      </c>
    </row>
    <row r="53" spans="2:39" x14ac:dyDescent="0.3">
      <c r="B53" s="80"/>
      <c r="C53" s="140"/>
      <c r="G53"/>
      <c r="H53"/>
      <c r="I53" s="3"/>
      <c r="J53" s="3"/>
      <c r="K53" s="11" t="e">
        <f>LAN_OP[[#This Row],[VALOR FATURADO]]/LAN_OP[[#This Row],[VALOR CONTRATO]]</f>
        <v>#DIV/0!</v>
      </c>
      <c r="L53" s="4">
        <f>LAN_OP[[#This Row],[VALOR CONTRATO]]-LAN_OP[[#This Row],[VALOR FATURADO]]</f>
        <v>0</v>
      </c>
      <c r="M53" s="11" t="e">
        <v>#DIV/0!</v>
      </c>
      <c r="N53" s="138"/>
      <c r="O53" s="138"/>
      <c r="P53" s="11"/>
      <c r="Q53" s="141"/>
      <c r="R53" s="3"/>
      <c r="S53" s="4"/>
      <c r="T53" s="8" t="str">
        <f>IFERROR(VLOOKUP(LAN_OP[[#This Row],[OP/OS]],LANC_FAT!A:M,2,0),"-")</f>
        <v>-</v>
      </c>
      <c r="U53" s="139" t="str">
        <f>IFERROR(VLOOKUP(LAN_OP[[#This Row],[OP/OS]],LANC_FAT!A:M,8,0),"-")</f>
        <v>-</v>
      </c>
      <c r="V53" s="10">
        <f>SUMIF(LANC_FAT[OP/OS],LAN_OP[[#This Row],[OP/OS]],LANC_FAT[VALOR DA NF COM IMPOSTO])</f>
        <v>0</v>
      </c>
      <c r="W53" s="3"/>
      <c r="X53" s="10">
        <f>SUMIF(LANC_COMPRA[OP/OS],LAN_OP[[#This Row],[OP/OS]],LANC_COMPRA[[VALOR ]])</f>
        <v>0</v>
      </c>
      <c r="Y53" s="10">
        <f>SUMIF(LANC_HORAS[OP/OS],LAN_OP[[#This Row],[OP/OS]],LANC_HORAS[TOTAL GERAL NORMAL])</f>
        <v>0</v>
      </c>
      <c r="Z53" s="10">
        <f>SUMIF(LANC_HORAS[OP/OS],LAN_OP[[#This Row],[OP/OS]],LANC_HORAS[TOTAL GERAL EXTRAS])</f>
        <v>0</v>
      </c>
      <c r="AA53" s="12">
        <f>SUMIF(LANC_HORAS[OP/OS],LAN_OP[[#This Row],[OP/OS]],LANC_HORAS[TOTAL H.N])</f>
        <v>0</v>
      </c>
      <c r="AB53" s="12">
        <f>SUMIF(LANC_HORAS[OP/OS],LAN_OP[[#This Row],[OP/OS]],LANC_HORAS[TOTAL H.E])</f>
        <v>0</v>
      </c>
      <c r="AC53" s="10">
        <f>SUMIF(LANC_DESPESAS[OS/OP],LAN_OP[[#This Row],[OP/OS]],LANC_DESPESAS[OBSERVAÇÕES])</f>
        <v>0</v>
      </c>
      <c r="AD53" s="3">
        <f>SUMIF(LANC_DESLOC[OS/OP],LAN_OP[[#This Row],[OP/OS]],LANC_DESLOC[ANO])</f>
        <v>0</v>
      </c>
      <c r="AE5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3" s="3">
        <f>LAN_OP[[#This Row],[TOTAL PARCIAL (M.O+MT+DESP)]]*1.08</f>
        <v>0</v>
      </c>
      <c r="AG53" s="3">
        <f>LAN_OP[[#This Row],[TOTAL PARCIAL + OUTROS CUSTOS (8%)]]*1.09</f>
        <v>0</v>
      </c>
      <c r="AH53" t="str">
        <f>IF(AND(U53&gt;=CALENDARIO!$B$2,U53&lt;=CALENDARIO!$C$2),"JANEIRO",IF(AND(U53&gt;=CALENDARIO!$B$3,U53&lt;=CALENDARIO!$C$3),"FEVEREIRO",IF(AND(U53&gt;=CALENDARIO!$B$4,U53&lt;=CALENDARIO!$C$4),"MARÇO",IF(AND(U53&gt;=CALENDARIO!$B$5,U53&lt;=CALENDARIO!$C$5),"ABRIL",IF(AND(U53&gt;=CALENDARIO!$B$6,U53&lt;=CALENDARIO!$C$6),"MAIO",IF(AND(U53&gt;=CALENDARIO!$B$7,U53&lt;=CALENDARIO!$C$7),"JUNHO",IF(AND(U53&gt;=CALENDARIO!$B$8,U53&lt;=CALENDARIO!$C$8),"JULHO",IF(AND(U53&gt;=CALENDARIO!$B$9,U53&lt;=CALENDARIO!$C$9),"AGOSTO",IF(AND(U53&gt;=CALENDARIO!$B$10,U53&lt;=CALENDARIO!$C$10),"SETEMBRO",IF(AND(U53&gt;=CALENDARIO!$B$11,U53&lt;=CALENDARIO!$C$11),"OUTUBRO",IF(AND(U53&gt;=CALENDARIO!$B$12,U53&lt;=CALENDARIO!$C$12),"NOVEMBRO",IF(AND(U53&gt;=CALENDARIO!$B$13,U53&lt;=CALENDARIO!$C$13),"DEZEMBRO","-"))))))))))))</f>
        <v>-</v>
      </c>
      <c r="AI53" s="3">
        <f>LAN_OP[[#This Row],[VALOR CONTRATO]]-LAN_OP[[#This Row],[TOTAL CUSTO (O.C + DI + MT + MO+DESP)]]</f>
        <v>0</v>
      </c>
      <c r="AJ53" s="11" t="str">
        <f>IFERROR(LAN_OP[[#This Row],[R$ (CONTRATO - CUSTOS)]]/LAN_OP[[#This Row],[VALOR CONTRATO]],"")</f>
        <v/>
      </c>
      <c r="AK53" s="3">
        <f>LAN_OP[[#This Row],[VALOR CONTRATO]]-LAN_OP[[#This Row],[VALOR FATURADO]]</f>
        <v>0</v>
      </c>
      <c r="AL53" s="3" t="str">
        <f>IF(AND(C53&gt;=CALENDARIO!$B$2,C53&lt;=CALENDARIO!$C$2),"JANEIRO",IF(AND(C53&gt;=CALENDARIO!$B$3,C53&lt;=CALENDARIO!$C$3),"FEVEREIRO",IF(AND(C53&gt;=CALENDARIO!$B$4,C53&lt;=CALENDARIO!$C$4),"MARÇO",IF(AND(C53&gt;=CALENDARIO!$B$5,C53&lt;=CALENDARIO!$C$5),"ABRIL",IF(AND(C53&gt;=CALENDARIO!$B$6,C53&lt;=CALENDARIO!$C$6),"MAIO",IF(AND(C53&gt;=CALENDARIO!$B$7,C53&lt;=CALENDARIO!$C$7),"JUNHO",IF(AND(C53&gt;=CALENDARIO!$B$8,C53&lt;=CALENDARIO!$C$8),"JULHO",IF(AND(C53&gt;=CALENDARIO!$B$9,C53&lt;=CALENDARIO!$C$9),"AGOSTO",IF(AND(C53&gt;=CALENDARIO!$B$10,C53&lt;=CALENDARIO!$C$10),"SETEMBRO",IF(AND(C53&gt;=CALENDARIO!$B$11,C53&lt;=CALENDARIO!$C$11),"OUTUBRO",IF(AND(C53&gt;=CALENDARIO!$B$12,C53&lt;=CALENDARIO!$C$12),"NOVEMBRO",IF(AND(C53&gt;=CALENDARIO!$B$13,C53&lt;=CALENDARIO!$C$13),"DEZEMBRO","-"))))))))))))</f>
        <v>-</v>
      </c>
      <c r="AM53" s="3" t="str">
        <f>RIGHT(LAN_OP[[#This Row],[OP/OS]],4)</f>
        <v/>
      </c>
    </row>
    <row r="54" spans="2:39" x14ac:dyDescent="0.3">
      <c r="B54" s="80"/>
      <c r="C54" s="140"/>
      <c r="G54"/>
      <c r="H54"/>
      <c r="I54" s="3"/>
      <c r="J54" s="3"/>
      <c r="K54" s="11" t="e">
        <f>LAN_OP[[#This Row],[VALOR FATURADO]]/LAN_OP[[#This Row],[VALOR CONTRATO]]</f>
        <v>#DIV/0!</v>
      </c>
      <c r="L54" s="4">
        <f>LAN_OP[[#This Row],[VALOR CONTRATO]]-LAN_OP[[#This Row],[VALOR FATURADO]]</f>
        <v>0</v>
      </c>
      <c r="M54" s="11" t="e">
        <v>#DIV/0!</v>
      </c>
      <c r="N54" s="138"/>
      <c r="O54" s="138"/>
      <c r="P54" s="11"/>
      <c r="Q54" s="141"/>
      <c r="R54" s="3"/>
      <c r="S54" s="4"/>
      <c r="T54" s="8" t="str">
        <f>IFERROR(VLOOKUP(LAN_OP[[#This Row],[OP/OS]],LANC_FAT!A:M,2,0),"-")</f>
        <v>-</v>
      </c>
      <c r="U54" s="139" t="str">
        <f>IFERROR(VLOOKUP(LAN_OP[[#This Row],[OP/OS]],LANC_FAT!A:M,8,0),"-")</f>
        <v>-</v>
      </c>
      <c r="V54" s="10">
        <f>SUMIF(LANC_FAT[OP/OS],LAN_OP[[#This Row],[OP/OS]],LANC_FAT[VALOR DA NF COM IMPOSTO])</f>
        <v>0</v>
      </c>
      <c r="W54" s="3"/>
      <c r="X54" s="10">
        <f>SUMIF(LANC_COMPRA[OP/OS],LAN_OP[[#This Row],[OP/OS]],LANC_COMPRA[[VALOR ]])</f>
        <v>0</v>
      </c>
      <c r="Y54" s="10">
        <f>SUMIF(LANC_HORAS[OP/OS],LAN_OP[[#This Row],[OP/OS]],LANC_HORAS[TOTAL GERAL NORMAL])</f>
        <v>0</v>
      </c>
      <c r="Z54" s="10">
        <f>SUMIF(LANC_HORAS[OP/OS],LAN_OP[[#This Row],[OP/OS]],LANC_HORAS[TOTAL GERAL EXTRAS])</f>
        <v>0</v>
      </c>
      <c r="AA54" s="12">
        <f>SUMIF(LANC_HORAS[OP/OS],LAN_OP[[#This Row],[OP/OS]],LANC_HORAS[TOTAL H.N])</f>
        <v>0</v>
      </c>
      <c r="AB54" s="12">
        <f>SUMIF(LANC_HORAS[OP/OS],LAN_OP[[#This Row],[OP/OS]],LANC_HORAS[TOTAL H.E])</f>
        <v>0</v>
      </c>
      <c r="AC54" s="10">
        <f>SUMIF(LANC_DESPESAS[OS/OP],LAN_OP[[#This Row],[OP/OS]],LANC_DESPESAS[OBSERVAÇÕES])</f>
        <v>0</v>
      </c>
      <c r="AD54" s="3">
        <f>SUMIF(LANC_DESLOC[OS/OP],LAN_OP[[#This Row],[OP/OS]],LANC_DESLOC[ANO])</f>
        <v>0</v>
      </c>
      <c r="AE5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4" s="3">
        <f>LAN_OP[[#This Row],[TOTAL PARCIAL (M.O+MT+DESP)]]*1.08</f>
        <v>0</v>
      </c>
      <c r="AG54" s="3">
        <f>LAN_OP[[#This Row],[TOTAL PARCIAL + OUTROS CUSTOS (8%)]]*1.09</f>
        <v>0</v>
      </c>
      <c r="AH54" t="str">
        <f>IF(AND(U54&gt;=CALENDARIO!$B$2,U54&lt;=CALENDARIO!$C$2),"JANEIRO",IF(AND(U54&gt;=CALENDARIO!$B$3,U54&lt;=CALENDARIO!$C$3),"FEVEREIRO",IF(AND(U54&gt;=CALENDARIO!$B$4,U54&lt;=CALENDARIO!$C$4),"MARÇO",IF(AND(U54&gt;=CALENDARIO!$B$5,U54&lt;=CALENDARIO!$C$5),"ABRIL",IF(AND(U54&gt;=CALENDARIO!$B$6,U54&lt;=CALENDARIO!$C$6),"MAIO",IF(AND(U54&gt;=CALENDARIO!$B$7,U54&lt;=CALENDARIO!$C$7),"JUNHO",IF(AND(U54&gt;=CALENDARIO!$B$8,U54&lt;=CALENDARIO!$C$8),"JULHO",IF(AND(U54&gt;=CALENDARIO!$B$9,U54&lt;=CALENDARIO!$C$9),"AGOSTO",IF(AND(U54&gt;=CALENDARIO!$B$10,U54&lt;=CALENDARIO!$C$10),"SETEMBRO",IF(AND(U54&gt;=CALENDARIO!$B$11,U54&lt;=CALENDARIO!$C$11),"OUTUBRO",IF(AND(U54&gt;=CALENDARIO!$B$12,U54&lt;=CALENDARIO!$C$12),"NOVEMBRO",IF(AND(U54&gt;=CALENDARIO!$B$13,U54&lt;=CALENDARIO!$C$13),"DEZEMBRO","-"))))))))))))</f>
        <v>-</v>
      </c>
      <c r="AI54" s="3">
        <f>LAN_OP[[#This Row],[VALOR CONTRATO]]-LAN_OP[[#This Row],[TOTAL CUSTO (O.C + DI + MT + MO+DESP)]]</f>
        <v>0</v>
      </c>
      <c r="AJ54" s="11" t="str">
        <f>IFERROR(LAN_OP[[#This Row],[R$ (CONTRATO - CUSTOS)]]/LAN_OP[[#This Row],[VALOR CONTRATO]],"")</f>
        <v/>
      </c>
      <c r="AK54" s="3">
        <f>LAN_OP[[#This Row],[VALOR CONTRATO]]-LAN_OP[[#This Row],[VALOR FATURADO]]</f>
        <v>0</v>
      </c>
      <c r="AL54" s="3" t="str">
        <f>IF(AND(C54&gt;=CALENDARIO!$B$2,C54&lt;=CALENDARIO!$C$2),"JANEIRO",IF(AND(C54&gt;=CALENDARIO!$B$3,C54&lt;=CALENDARIO!$C$3),"FEVEREIRO",IF(AND(C54&gt;=CALENDARIO!$B$4,C54&lt;=CALENDARIO!$C$4),"MARÇO",IF(AND(C54&gt;=CALENDARIO!$B$5,C54&lt;=CALENDARIO!$C$5),"ABRIL",IF(AND(C54&gt;=CALENDARIO!$B$6,C54&lt;=CALENDARIO!$C$6),"MAIO",IF(AND(C54&gt;=CALENDARIO!$B$7,C54&lt;=CALENDARIO!$C$7),"JUNHO",IF(AND(C54&gt;=CALENDARIO!$B$8,C54&lt;=CALENDARIO!$C$8),"JULHO",IF(AND(C54&gt;=CALENDARIO!$B$9,C54&lt;=CALENDARIO!$C$9),"AGOSTO",IF(AND(C54&gt;=CALENDARIO!$B$10,C54&lt;=CALENDARIO!$C$10),"SETEMBRO",IF(AND(C54&gt;=CALENDARIO!$B$11,C54&lt;=CALENDARIO!$C$11),"OUTUBRO",IF(AND(C54&gt;=CALENDARIO!$B$12,C54&lt;=CALENDARIO!$C$12),"NOVEMBRO",IF(AND(C54&gt;=CALENDARIO!$B$13,C54&lt;=CALENDARIO!$C$13),"DEZEMBRO","-"))))))))))))</f>
        <v>-</v>
      </c>
      <c r="AM54" s="3" t="str">
        <f>RIGHT(LAN_OP[[#This Row],[OP/OS]],4)</f>
        <v/>
      </c>
    </row>
    <row r="55" spans="2:39" x14ac:dyDescent="0.3">
      <c r="B55" s="80"/>
      <c r="C55" s="140"/>
      <c r="G55"/>
      <c r="H55"/>
      <c r="I55" s="3"/>
      <c r="J55" s="3"/>
      <c r="K55" s="11" t="e">
        <f>LAN_OP[[#This Row],[VALOR FATURADO]]/LAN_OP[[#This Row],[VALOR CONTRATO]]</f>
        <v>#DIV/0!</v>
      </c>
      <c r="L55" s="4">
        <f>LAN_OP[[#This Row],[VALOR CONTRATO]]-LAN_OP[[#This Row],[VALOR FATURADO]]</f>
        <v>0</v>
      </c>
      <c r="M55" s="11" t="e">
        <v>#DIV/0!</v>
      </c>
      <c r="N55" s="138"/>
      <c r="O55" s="138"/>
      <c r="P55" s="11"/>
      <c r="Q55" s="141"/>
      <c r="R55" s="3"/>
      <c r="S55" s="4"/>
      <c r="T55" s="8" t="str">
        <f>IFERROR(VLOOKUP(LAN_OP[[#This Row],[OP/OS]],LANC_FAT!A:M,2,0),"-")</f>
        <v>-</v>
      </c>
      <c r="U55" s="139" t="str">
        <f>IFERROR(VLOOKUP(LAN_OP[[#This Row],[OP/OS]],LANC_FAT!A:M,8,0),"-")</f>
        <v>-</v>
      </c>
      <c r="V55" s="10">
        <f>SUMIF(LANC_FAT[OP/OS],LAN_OP[[#This Row],[OP/OS]],LANC_FAT[VALOR DA NF COM IMPOSTO])</f>
        <v>0</v>
      </c>
      <c r="W55" s="3"/>
      <c r="X55" s="10">
        <f>SUMIF(LANC_COMPRA[OP/OS],LAN_OP[[#This Row],[OP/OS]],LANC_COMPRA[[VALOR ]])</f>
        <v>0</v>
      </c>
      <c r="Y55" s="10">
        <f>SUMIF(LANC_HORAS[OP/OS],LAN_OP[[#This Row],[OP/OS]],LANC_HORAS[TOTAL GERAL NORMAL])</f>
        <v>0</v>
      </c>
      <c r="Z55" s="10">
        <f>SUMIF(LANC_HORAS[OP/OS],LAN_OP[[#This Row],[OP/OS]],LANC_HORAS[TOTAL GERAL EXTRAS])</f>
        <v>0</v>
      </c>
      <c r="AA55" s="12">
        <f>SUMIF(LANC_HORAS[OP/OS],LAN_OP[[#This Row],[OP/OS]],LANC_HORAS[TOTAL H.N])</f>
        <v>0</v>
      </c>
      <c r="AB55" s="12">
        <f>SUMIF(LANC_HORAS[OP/OS],LAN_OP[[#This Row],[OP/OS]],LANC_HORAS[TOTAL H.E])</f>
        <v>0</v>
      </c>
      <c r="AC55" s="10">
        <f>SUMIF(LANC_DESPESAS[OS/OP],LAN_OP[[#This Row],[OP/OS]],LANC_DESPESAS[OBSERVAÇÕES])</f>
        <v>0</v>
      </c>
      <c r="AD55" s="3">
        <f>SUMIF(LANC_DESLOC[OS/OP],LAN_OP[[#This Row],[OP/OS]],LANC_DESLOC[ANO])</f>
        <v>0</v>
      </c>
      <c r="AE5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5" s="3">
        <f>LAN_OP[[#This Row],[TOTAL PARCIAL (M.O+MT+DESP)]]*1.08</f>
        <v>0</v>
      </c>
      <c r="AG55" s="3">
        <f>LAN_OP[[#This Row],[TOTAL PARCIAL + OUTROS CUSTOS (8%)]]*1.09</f>
        <v>0</v>
      </c>
      <c r="AH55" t="str">
        <f>IF(AND(U55&gt;=CALENDARIO!$B$2,U55&lt;=CALENDARIO!$C$2),"JANEIRO",IF(AND(U55&gt;=CALENDARIO!$B$3,U55&lt;=CALENDARIO!$C$3),"FEVEREIRO",IF(AND(U55&gt;=CALENDARIO!$B$4,U55&lt;=CALENDARIO!$C$4),"MARÇO",IF(AND(U55&gt;=CALENDARIO!$B$5,U55&lt;=CALENDARIO!$C$5),"ABRIL",IF(AND(U55&gt;=CALENDARIO!$B$6,U55&lt;=CALENDARIO!$C$6),"MAIO",IF(AND(U55&gt;=CALENDARIO!$B$7,U55&lt;=CALENDARIO!$C$7),"JUNHO",IF(AND(U55&gt;=CALENDARIO!$B$8,U55&lt;=CALENDARIO!$C$8),"JULHO",IF(AND(U55&gt;=CALENDARIO!$B$9,U55&lt;=CALENDARIO!$C$9),"AGOSTO",IF(AND(U55&gt;=CALENDARIO!$B$10,U55&lt;=CALENDARIO!$C$10),"SETEMBRO",IF(AND(U55&gt;=CALENDARIO!$B$11,U55&lt;=CALENDARIO!$C$11),"OUTUBRO",IF(AND(U55&gt;=CALENDARIO!$B$12,U55&lt;=CALENDARIO!$C$12),"NOVEMBRO",IF(AND(U55&gt;=CALENDARIO!$B$13,U55&lt;=CALENDARIO!$C$13),"DEZEMBRO","-"))))))))))))</f>
        <v>-</v>
      </c>
      <c r="AI55" s="3">
        <f>LAN_OP[[#This Row],[VALOR CONTRATO]]-LAN_OP[[#This Row],[TOTAL CUSTO (O.C + DI + MT + MO+DESP)]]</f>
        <v>0</v>
      </c>
      <c r="AJ55" s="11" t="str">
        <f>IFERROR(LAN_OP[[#This Row],[R$ (CONTRATO - CUSTOS)]]/LAN_OP[[#This Row],[VALOR CONTRATO]],"")</f>
        <v/>
      </c>
      <c r="AK55" s="3">
        <f>LAN_OP[[#This Row],[VALOR CONTRATO]]-LAN_OP[[#This Row],[VALOR FATURADO]]</f>
        <v>0</v>
      </c>
      <c r="AL55" s="3" t="str">
        <f>IF(AND(C55&gt;=CALENDARIO!$B$2,C55&lt;=CALENDARIO!$C$2),"JANEIRO",IF(AND(C55&gt;=CALENDARIO!$B$3,C55&lt;=CALENDARIO!$C$3),"FEVEREIRO",IF(AND(C55&gt;=CALENDARIO!$B$4,C55&lt;=CALENDARIO!$C$4),"MARÇO",IF(AND(C55&gt;=CALENDARIO!$B$5,C55&lt;=CALENDARIO!$C$5),"ABRIL",IF(AND(C55&gt;=CALENDARIO!$B$6,C55&lt;=CALENDARIO!$C$6),"MAIO",IF(AND(C55&gt;=CALENDARIO!$B$7,C55&lt;=CALENDARIO!$C$7),"JUNHO",IF(AND(C55&gt;=CALENDARIO!$B$8,C55&lt;=CALENDARIO!$C$8),"JULHO",IF(AND(C55&gt;=CALENDARIO!$B$9,C55&lt;=CALENDARIO!$C$9),"AGOSTO",IF(AND(C55&gt;=CALENDARIO!$B$10,C55&lt;=CALENDARIO!$C$10),"SETEMBRO",IF(AND(C55&gt;=CALENDARIO!$B$11,C55&lt;=CALENDARIO!$C$11),"OUTUBRO",IF(AND(C55&gt;=CALENDARIO!$B$12,C55&lt;=CALENDARIO!$C$12),"NOVEMBRO",IF(AND(C55&gt;=CALENDARIO!$B$13,C55&lt;=CALENDARIO!$C$13),"DEZEMBRO","-"))))))))))))</f>
        <v>-</v>
      </c>
      <c r="AM55" s="3" t="str">
        <f>RIGHT(LAN_OP[[#This Row],[OP/OS]],4)</f>
        <v/>
      </c>
    </row>
    <row r="56" spans="2:39" x14ac:dyDescent="0.3">
      <c r="B56" s="80"/>
      <c r="C56" s="140"/>
      <c r="G56"/>
      <c r="H56"/>
      <c r="I56" s="3"/>
      <c r="J56" s="3"/>
      <c r="K56" s="11" t="e">
        <f>LAN_OP[[#This Row],[VALOR FATURADO]]/LAN_OP[[#This Row],[VALOR CONTRATO]]</f>
        <v>#DIV/0!</v>
      </c>
      <c r="L56" s="4">
        <f>LAN_OP[[#This Row],[VALOR CONTRATO]]-LAN_OP[[#This Row],[VALOR FATURADO]]</f>
        <v>0</v>
      </c>
      <c r="M56" s="11" t="e">
        <v>#DIV/0!</v>
      </c>
      <c r="N56" s="138"/>
      <c r="O56" s="138"/>
      <c r="P56" s="11"/>
      <c r="Q56" s="141"/>
      <c r="R56" s="3"/>
      <c r="S56" s="4"/>
      <c r="T56" s="8" t="str">
        <f>IFERROR(VLOOKUP(LAN_OP[[#This Row],[OP/OS]],LANC_FAT!A:M,2,0),"-")</f>
        <v>-</v>
      </c>
      <c r="U56" s="139" t="str">
        <f>IFERROR(VLOOKUP(LAN_OP[[#This Row],[OP/OS]],LANC_FAT!A:M,8,0),"-")</f>
        <v>-</v>
      </c>
      <c r="V56" s="10">
        <f>SUMIF(LANC_FAT[OP/OS],LAN_OP[[#This Row],[OP/OS]],LANC_FAT[VALOR DA NF COM IMPOSTO])</f>
        <v>0</v>
      </c>
      <c r="W56" s="3"/>
      <c r="X56" s="10">
        <f>SUMIF(LANC_COMPRA[OP/OS],LAN_OP[[#This Row],[OP/OS]],LANC_COMPRA[[VALOR ]])</f>
        <v>0</v>
      </c>
      <c r="Y56" s="10">
        <f>SUMIF(LANC_HORAS[OP/OS],LAN_OP[[#This Row],[OP/OS]],LANC_HORAS[TOTAL GERAL NORMAL])</f>
        <v>0</v>
      </c>
      <c r="Z56" s="10">
        <f>SUMIF(LANC_HORAS[OP/OS],LAN_OP[[#This Row],[OP/OS]],LANC_HORAS[TOTAL GERAL EXTRAS])</f>
        <v>0</v>
      </c>
      <c r="AA56" s="12">
        <f>SUMIF(LANC_HORAS[OP/OS],LAN_OP[[#This Row],[OP/OS]],LANC_HORAS[TOTAL H.N])</f>
        <v>0</v>
      </c>
      <c r="AB56" s="12">
        <f>SUMIF(LANC_HORAS[OP/OS],LAN_OP[[#This Row],[OP/OS]],LANC_HORAS[TOTAL H.E])</f>
        <v>0</v>
      </c>
      <c r="AC56" s="10">
        <f>SUMIF(LANC_DESPESAS[OS/OP],LAN_OP[[#This Row],[OP/OS]],LANC_DESPESAS[OBSERVAÇÕES])</f>
        <v>0</v>
      </c>
      <c r="AD56" s="3">
        <f>SUMIF(LANC_DESLOC[OS/OP],LAN_OP[[#This Row],[OP/OS]],LANC_DESLOC[ANO])</f>
        <v>0</v>
      </c>
      <c r="AE5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6" s="3">
        <f>LAN_OP[[#This Row],[TOTAL PARCIAL (M.O+MT+DESP)]]*1.08</f>
        <v>0</v>
      </c>
      <c r="AG56" s="3">
        <f>LAN_OP[[#This Row],[TOTAL PARCIAL + OUTROS CUSTOS (8%)]]*1.09</f>
        <v>0</v>
      </c>
      <c r="AH56" t="str">
        <f>IF(AND(U56&gt;=CALENDARIO!$B$2,U56&lt;=CALENDARIO!$C$2),"JANEIRO",IF(AND(U56&gt;=CALENDARIO!$B$3,U56&lt;=CALENDARIO!$C$3),"FEVEREIRO",IF(AND(U56&gt;=CALENDARIO!$B$4,U56&lt;=CALENDARIO!$C$4),"MARÇO",IF(AND(U56&gt;=CALENDARIO!$B$5,U56&lt;=CALENDARIO!$C$5),"ABRIL",IF(AND(U56&gt;=CALENDARIO!$B$6,U56&lt;=CALENDARIO!$C$6),"MAIO",IF(AND(U56&gt;=CALENDARIO!$B$7,U56&lt;=CALENDARIO!$C$7),"JUNHO",IF(AND(U56&gt;=CALENDARIO!$B$8,U56&lt;=CALENDARIO!$C$8),"JULHO",IF(AND(U56&gt;=CALENDARIO!$B$9,U56&lt;=CALENDARIO!$C$9),"AGOSTO",IF(AND(U56&gt;=CALENDARIO!$B$10,U56&lt;=CALENDARIO!$C$10),"SETEMBRO",IF(AND(U56&gt;=CALENDARIO!$B$11,U56&lt;=CALENDARIO!$C$11),"OUTUBRO",IF(AND(U56&gt;=CALENDARIO!$B$12,U56&lt;=CALENDARIO!$C$12),"NOVEMBRO",IF(AND(U56&gt;=CALENDARIO!$B$13,U56&lt;=CALENDARIO!$C$13),"DEZEMBRO","-"))))))))))))</f>
        <v>-</v>
      </c>
      <c r="AI56" s="3">
        <f>LAN_OP[[#This Row],[VALOR CONTRATO]]-LAN_OP[[#This Row],[TOTAL CUSTO (O.C + DI + MT + MO+DESP)]]</f>
        <v>0</v>
      </c>
      <c r="AJ56" s="11" t="str">
        <f>IFERROR(LAN_OP[[#This Row],[R$ (CONTRATO - CUSTOS)]]/LAN_OP[[#This Row],[VALOR CONTRATO]],"")</f>
        <v/>
      </c>
      <c r="AK56" s="3">
        <f>LAN_OP[[#This Row],[VALOR CONTRATO]]-LAN_OP[[#This Row],[VALOR FATURADO]]</f>
        <v>0</v>
      </c>
      <c r="AL56" s="3" t="str">
        <f>IF(AND(C56&gt;=CALENDARIO!$B$2,C56&lt;=CALENDARIO!$C$2),"JANEIRO",IF(AND(C56&gt;=CALENDARIO!$B$3,C56&lt;=CALENDARIO!$C$3),"FEVEREIRO",IF(AND(C56&gt;=CALENDARIO!$B$4,C56&lt;=CALENDARIO!$C$4),"MARÇO",IF(AND(C56&gt;=CALENDARIO!$B$5,C56&lt;=CALENDARIO!$C$5),"ABRIL",IF(AND(C56&gt;=CALENDARIO!$B$6,C56&lt;=CALENDARIO!$C$6),"MAIO",IF(AND(C56&gt;=CALENDARIO!$B$7,C56&lt;=CALENDARIO!$C$7),"JUNHO",IF(AND(C56&gt;=CALENDARIO!$B$8,C56&lt;=CALENDARIO!$C$8),"JULHO",IF(AND(C56&gt;=CALENDARIO!$B$9,C56&lt;=CALENDARIO!$C$9),"AGOSTO",IF(AND(C56&gt;=CALENDARIO!$B$10,C56&lt;=CALENDARIO!$C$10),"SETEMBRO",IF(AND(C56&gt;=CALENDARIO!$B$11,C56&lt;=CALENDARIO!$C$11),"OUTUBRO",IF(AND(C56&gt;=CALENDARIO!$B$12,C56&lt;=CALENDARIO!$C$12),"NOVEMBRO",IF(AND(C56&gt;=CALENDARIO!$B$13,C56&lt;=CALENDARIO!$C$13),"DEZEMBRO","-"))))))))))))</f>
        <v>-</v>
      </c>
      <c r="AM56" s="3" t="str">
        <f>RIGHT(LAN_OP[[#This Row],[OP/OS]],4)</f>
        <v/>
      </c>
    </row>
    <row r="57" spans="2:39" x14ac:dyDescent="0.3">
      <c r="B57" s="80"/>
      <c r="C57" s="140"/>
      <c r="G57"/>
      <c r="H57"/>
      <c r="I57" s="3"/>
      <c r="J57" s="3"/>
      <c r="K57" s="11" t="e">
        <f>LAN_OP[[#This Row],[VALOR FATURADO]]/LAN_OP[[#This Row],[VALOR CONTRATO]]</f>
        <v>#DIV/0!</v>
      </c>
      <c r="L57" s="4">
        <f>LAN_OP[[#This Row],[VALOR CONTRATO]]-LAN_OP[[#This Row],[VALOR FATURADO]]</f>
        <v>0</v>
      </c>
      <c r="M57" s="11" t="e">
        <v>#DIV/0!</v>
      </c>
      <c r="N57" s="138"/>
      <c r="O57" s="138"/>
      <c r="P57" s="11"/>
      <c r="Q57" s="141"/>
      <c r="R57" s="3"/>
      <c r="S57" s="4"/>
      <c r="T57" s="8" t="str">
        <f>IFERROR(VLOOKUP(LAN_OP[[#This Row],[OP/OS]],LANC_FAT!A:M,2,0),"-")</f>
        <v>-</v>
      </c>
      <c r="U57" s="139" t="str">
        <f>IFERROR(VLOOKUP(LAN_OP[[#This Row],[OP/OS]],LANC_FAT!A:M,8,0),"-")</f>
        <v>-</v>
      </c>
      <c r="V57" s="10">
        <f>SUMIF(LANC_FAT[OP/OS],LAN_OP[[#This Row],[OP/OS]],LANC_FAT[VALOR DA NF COM IMPOSTO])</f>
        <v>0</v>
      </c>
      <c r="W57" s="3"/>
      <c r="X57" s="10">
        <f>SUMIF(LANC_COMPRA[OP/OS],LAN_OP[[#This Row],[OP/OS]],LANC_COMPRA[[VALOR ]])</f>
        <v>0</v>
      </c>
      <c r="Y57" s="10">
        <f>SUMIF(LANC_HORAS[OP/OS],LAN_OP[[#This Row],[OP/OS]],LANC_HORAS[TOTAL GERAL NORMAL])</f>
        <v>0</v>
      </c>
      <c r="Z57" s="10">
        <f>SUMIF(LANC_HORAS[OP/OS],LAN_OP[[#This Row],[OP/OS]],LANC_HORAS[TOTAL GERAL EXTRAS])</f>
        <v>0</v>
      </c>
      <c r="AA57" s="12">
        <f>SUMIF(LANC_HORAS[OP/OS],LAN_OP[[#This Row],[OP/OS]],LANC_HORAS[TOTAL H.N])</f>
        <v>0</v>
      </c>
      <c r="AB57" s="12">
        <f>SUMIF(LANC_HORAS[OP/OS],LAN_OP[[#This Row],[OP/OS]],LANC_HORAS[TOTAL H.E])</f>
        <v>0</v>
      </c>
      <c r="AC57" s="10">
        <f>SUMIF(LANC_DESPESAS[OS/OP],LAN_OP[[#This Row],[OP/OS]],LANC_DESPESAS[OBSERVAÇÕES])</f>
        <v>0</v>
      </c>
      <c r="AD57" s="3">
        <f>SUMIF(LANC_DESLOC[OS/OP],LAN_OP[[#This Row],[OP/OS]],LANC_DESLOC[ANO])</f>
        <v>0</v>
      </c>
      <c r="AE5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7" s="3">
        <f>LAN_OP[[#This Row],[TOTAL PARCIAL (M.O+MT+DESP)]]*1.08</f>
        <v>0</v>
      </c>
      <c r="AG57" s="3">
        <f>LAN_OP[[#This Row],[TOTAL PARCIAL + OUTROS CUSTOS (8%)]]*1.09</f>
        <v>0</v>
      </c>
      <c r="AH57" t="str">
        <f>IF(AND(U57&gt;=CALENDARIO!$B$2,U57&lt;=CALENDARIO!$C$2),"JANEIRO",IF(AND(U57&gt;=CALENDARIO!$B$3,U57&lt;=CALENDARIO!$C$3),"FEVEREIRO",IF(AND(U57&gt;=CALENDARIO!$B$4,U57&lt;=CALENDARIO!$C$4),"MARÇO",IF(AND(U57&gt;=CALENDARIO!$B$5,U57&lt;=CALENDARIO!$C$5),"ABRIL",IF(AND(U57&gt;=CALENDARIO!$B$6,U57&lt;=CALENDARIO!$C$6),"MAIO",IF(AND(U57&gt;=CALENDARIO!$B$7,U57&lt;=CALENDARIO!$C$7),"JUNHO",IF(AND(U57&gt;=CALENDARIO!$B$8,U57&lt;=CALENDARIO!$C$8),"JULHO",IF(AND(U57&gt;=CALENDARIO!$B$9,U57&lt;=CALENDARIO!$C$9),"AGOSTO",IF(AND(U57&gt;=CALENDARIO!$B$10,U57&lt;=CALENDARIO!$C$10),"SETEMBRO",IF(AND(U57&gt;=CALENDARIO!$B$11,U57&lt;=CALENDARIO!$C$11),"OUTUBRO",IF(AND(U57&gt;=CALENDARIO!$B$12,U57&lt;=CALENDARIO!$C$12),"NOVEMBRO",IF(AND(U57&gt;=CALENDARIO!$B$13,U57&lt;=CALENDARIO!$C$13),"DEZEMBRO","-"))))))))))))</f>
        <v>-</v>
      </c>
      <c r="AI57" s="3">
        <f>LAN_OP[[#This Row],[VALOR CONTRATO]]-LAN_OP[[#This Row],[TOTAL CUSTO (O.C + DI + MT + MO+DESP)]]</f>
        <v>0</v>
      </c>
      <c r="AJ57" s="11" t="str">
        <f>IFERROR(LAN_OP[[#This Row],[R$ (CONTRATO - CUSTOS)]]/LAN_OP[[#This Row],[VALOR CONTRATO]],"")</f>
        <v/>
      </c>
      <c r="AK57" s="3">
        <f>LAN_OP[[#This Row],[VALOR CONTRATO]]-LAN_OP[[#This Row],[VALOR FATURADO]]</f>
        <v>0</v>
      </c>
      <c r="AL57" s="3" t="str">
        <f>IF(AND(C57&gt;=CALENDARIO!$B$2,C57&lt;=CALENDARIO!$C$2),"JANEIRO",IF(AND(C57&gt;=CALENDARIO!$B$3,C57&lt;=CALENDARIO!$C$3),"FEVEREIRO",IF(AND(C57&gt;=CALENDARIO!$B$4,C57&lt;=CALENDARIO!$C$4),"MARÇO",IF(AND(C57&gt;=CALENDARIO!$B$5,C57&lt;=CALENDARIO!$C$5),"ABRIL",IF(AND(C57&gt;=CALENDARIO!$B$6,C57&lt;=CALENDARIO!$C$6),"MAIO",IF(AND(C57&gt;=CALENDARIO!$B$7,C57&lt;=CALENDARIO!$C$7),"JUNHO",IF(AND(C57&gt;=CALENDARIO!$B$8,C57&lt;=CALENDARIO!$C$8),"JULHO",IF(AND(C57&gt;=CALENDARIO!$B$9,C57&lt;=CALENDARIO!$C$9),"AGOSTO",IF(AND(C57&gt;=CALENDARIO!$B$10,C57&lt;=CALENDARIO!$C$10),"SETEMBRO",IF(AND(C57&gt;=CALENDARIO!$B$11,C57&lt;=CALENDARIO!$C$11),"OUTUBRO",IF(AND(C57&gt;=CALENDARIO!$B$12,C57&lt;=CALENDARIO!$C$12),"NOVEMBRO",IF(AND(C57&gt;=CALENDARIO!$B$13,C57&lt;=CALENDARIO!$C$13),"DEZEMBRO","-"))))))))))))</f>
        <v>-</v>
      </c>
      <c r="AM57" s="3" t="str">
        <f>RIGHT(LAN_OP[[#This Row],[OP/OS]],4)</f>
        <v/>
      </c>
    </row>
    <row r="58" spans="2:39" x14ac:dyDescent="0.3">
      <c r="B58" s="80"/>
      <c r="C58" s="140"/>
      <c r="G58"/>
      <c r="H58"/>
      <c r="I58" s="3"/>
      <c r="J58" s="3"/>
      <c r="K58" s="11" t="e">
        <f>LAN_OP[[#This Row],[VALOR FATURADO]]/LAN_OP[[#This Row],[VALOR CONTRATO]]</f>
        <v>#DIV/0!</v>
      </c>
      <c r="L58" s="4">
        <f>LAN_OP[[#This Row],[VALOR CONTRATO]]-LAN_OP[[#This Row],[VALOR FATURADO]]</f>
        <v>0</v>
      </c>
      <c r="M58" s="11" t="e">
        <v>#DIV/0!</v>
      </c>
      <c r="N58" s="138"/>
      <c r="O58" s="138"/>
      <c r="P58" s="11"/>
      <c r="Q58" s="141"/>
      <c r="R58" s="3"/>
      <c r="S58" s="4"/>
      <c r="T58" s="8" t="str">
        <f>IFERROR(VLOOKUP(LAN_OP[[#This Row],[OP/OS]],LANC_FAT!A:M,2,0),"-")</f>
        <v>-</v>
      </c>
      <c r="U58" s="139" t="str">
        <f>IFERROR(VLOOKUP(LAN_OP[[#This Row],[OP/OS]],LANC_FAT!A:M,8,0),"-")</f>
        <v>-</v>
      </c>
      <c r="V58" s="10">
        <f>SUMIF(LANC_FAT[OP/OS],LAN_OP[[#This Row],[OP/OS]],LANC_FAT[VALOR DA NF COM IMPOSTO])</f>
        <v>0</v>
      </c>
      <c r="W58" s="3"/>
      <c r="X58" s="10">
        <f>SUMIF(LANC_COMPRA[OP/OS],LAN_OP[[#This Row],[OP/OS]],LANC_COMPRA[[VALOR ]])</f>
        <v>0</v>
      </c>
      <c r="Y58" s="10">
        <f>SUMIF(LANC_HORAS[OP/OS],LAN_OP[[#This Row],[OP/OS]],LANC_HORAS[TOTAL GERAL NORMAL])</f>
        <v>0</v>
      </c>
      <c r="Z58" s="10">
        <f>SUMIF(LANC_HORAS[OP/OS],LAN_OP[[#This Row],[OP/OS]],LANC_HORAS[TOTAL GERAL EXTRAS])</f>
        <v>0</v>
      </c>
      <c r="AA58" s="12">
        <f>SUMIF(LANC_HORAS[OP/OS],LAN_OP[[#This Row],[OP/OS]],LANC_HORAS[TOTAL H.N])</f>
        <v>0</v>
      </c>
      <c r="AB58" s="12">
        <f>SUMIF(LANC_HORAS[OP/OS],LAN_OP[[#This Row],[OP/OS]],LANC_HORAS[TOTAL H.E])</f>
        <v>0</v>
      </c>
      <c r="AC58" s="10">
        <f>SUMIF(LANC_DESPESAS[OS/OP],LAN_OP[[#This Row],[OP/OS]],LANC_DESPESAS[OBSERVAÇÕES])</f>
        <v>0</v>
      </c>
      <c r="AD58" s="3">
        <f>SUMIF(LANC_DESLOC[OS/OP],LAN_OP[[#This Row],[OP/OS]],LANC_DESLOC[ANO])</f>
        <v>0</v>
      </c>
      <c r="AE5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8" s="3">
        <f>LAN_OP[[#This Row],[TOTAL PARCIAL (M.O+MT+DESP)]]*1.08</f>
        <v>0</v>
      </c>
      <c r="AG58" s="3">
        <f>LAN_OP[[#This Row],[TOTAL PARCIAL + OUTROS CUSTOS (8%)]]*1.09</f>
        <v>0</v>
      </c>
      <c r="AH58" t="str">
        <f>IF(AND(U58&gt;=CALENDARIO!$B$2,U58&lt;=CALENDARIO!$C$2),"JANEIRO",IF(AND(U58&gt;=CALENDARIO!$B$3,U58&lt;=CALENDARIO!$C$3),"FEVEREIRO",IF(AND(U58&gt;=CALENDARIO!$B$4,U58&lt;=CALENDARIO!$C$4),"MARÇO",IF(AND(U58&gt;=CALENDARIO!$B$5,U58&lt;=CALENDARIO!$C$5),"ABRIL",IF(AND(U58&gt;=CALENDARIO!$B$6,U58&lt;=CALENDARIO!$C$6),"MAIO",IF(AND(U58&gt;=CALENDARIO!$B$7,U58&lt;=CALENDARIO!$C$7),"JUNHO",IF(AND(U58&gt;=CALENDARIO!$B$8,U58&lt;=CALENDARIO!$C$8),"JULHO",IF(AND(U58&gt;=CALENDARIO!$B$9,U58&lt;=CALENDARIO!$C$9),"AGOSTO",IF(AND(U58&gt;=CALENDARIO!$B$10,U58&lt;=CALENDARIO!$C$10),"SETEMBRO",IF(AND(U58&gt;=CALENDARIO!$B$11,U58&lt;=CALENDARIO!$C$11),"OUTUBRO",IF(AND(U58&gt;=CALENDARIO!$B$12,U58&lt;=CALENDARIO!$C$12),"NOVEMBRO",IF(AND(U58&gt;=CALENDARIO!$B$13,U58&lt;=CALENDARIO!$C$13),"DEZEMBRO","-"))))))))))))</f>
        <v>-</v>
      </c>
      <c r="AI58" s="3">
        <f>LAN_OP[[#This Row],[VALOR CONTRATO]]-LAN_OP[[#This Row],[TOTAL CUSTO (O.C + DI + MT + MO+DESP)]]</f>
        <v>0</v>
      </c>
      <c r="AJ58" s="11" t="str">
        <f>IFERROR(LAN_OP[[#This Row],[R$ (CONTRATO - CUSTOS)]]/LAN_OP[[#This Row],[VALOR CONTRATO]],"")</f>
        <v/>
      </c>
      <c r="AK58" s="3">
        <f>LAN_OP[[#This Row],[VALOR CONTRATO]]-LAN_OP[[#This Row],[VALOR FATURADO]]</f>
        <v>0</v>
      </c>
      <c r="AL58" s="3" t="str">
        <f>IF(AND(C58&gt;=CALENDARIO!$B$2,C58&lt;=CALENDARIO!$C$2),"JANEIRO",IF(AND(C58&gt;=CALENDARIO!$B$3,C58&lt;=CALENDARIO!$C$3),"FEVEREIRO",IF(AND(C58&gt;=CALENDARIO!$B$4,C58&lt;=CALENDARIO!$C$4),"MARÇO",IF(AND(C58&gt;=CALENDARIO!$B$5,C58&lt;=CALENDARIO!$C$5),"ABRIL",IF(AND(C58&gt;=CALENDARIO!$B$6,C58&lt;=CALENDARIO!$C$6),"MAIO",IF(AND(C58&gt;=CALENDARIO!$B$7,C58&lt;=CALENDARIO!$C$7),"JUNHO",IF(AND(C58&gt;=CALENDARIO!$B$8,C58&lt;=CALENDARIO!$C$8),"JULHO",IF(AND(C58&gt;=CALENDARIO!$B$9,C58&lt;=CALENDARIO!$C$9),"AGOSTO",IF(AND(C58&gt;=CALENDARIO!$B$10,C58&lt;=CALENDARIO!$C$10),"SETEMBRO",IF(AND(C58&gt;=CALENDARIO!$B$11,C58&lt;=CALENDARIO!$C$11),"OUTUBRO",IF(AND(C58&gt;=CALENDARIO!$B$12,C58&lt;=CALENDARIO!$C$12),"NOVEMBRO",IF(AND(C58&gt;=CALENDARIO!$B$13,C58&lt;=CALENDARIO!$C$13),"DEZEMBRO","-"))))))))))))</f>
        <v>-</v>
      </c>
      <c r="AM58" s="3" t="str">
        <f>RIGHT(LAN_OP[[#This Row],[OP/OS]],4)</f>
        <v/>
      </c>
    </row>
    <row r="59" spans="2:39" x14ac:dyDescent="0.3">
      <c r="B59" s="80"/>
      <c r="C59" s="140"/>
      <c r="G59"/>
      <c r="H59"/>
      <c r="I59" s="3"/>
      <c r="J59" s="3"/>
      <c r="K59" s="11" t="e">
        <f>LAN_OP[[#This Row],[VALOR FATURADO]]/LAN_OP[[#This Row],[VALOR CONTRATO]]</f>
        <v>#DIV/0!</v>
      </c>
      <c r="L59" s="4">
        <f>LAN_OP[[#This Row],[VALOR CONTRATO]]-LAN_OP[[#This Row],[VALOR FATURADO]]</f>
        <v>0</v>
      </c>
      <c r="M59" s="11" t="e">
        <v>#DIV/0!</v>
      </c>
      <c r="N59" s="138"/>
      <c r="O59" s="138"/>
      <c r="P59" s="11"/>
      <c r="Q59" s="141"/>
      <c r="R59" s="3"/>
      <c r="S59" s="4"/>
      <c r="T59" s="8" t="str">
        <f>IFERROR(VLOOKUP(LAN_OP[[#This Row],[OP/OS]],LANC_FAT!A:M,2,0),"-")</f>
        <v>-</v>
      </c>
      <c r="U59" s="139" t="str">
        <f>IFERROR(VLOOKUP(LAN_OP[[#This Row],[OP/OS]],LANC_FAT!A:M,8,0),"-")</f>
        <v>-</v>
      </c>
      <c r="V59" s="10">
        <f>SUMIF(LANC_FAT[OP/OS],LAN_OP[[#This Row],[OP/OS]],LANC_FAT[VALOR DA NF COM IMPOSTO])</f>
        <v>0</v>
      </c>
      <c r="W59" s="3"/>
      <c r="X59" s="10">
        <f>SUMIF(LANC_COMPRA[OP/OS],LAN_OP[[#This Row],[OP/OS]],LANC_COMPRA[[VALOR ]])</f>
        <v>0</v>
      </c>
      <c r="Y59" s="10">
        <f>SUMIF(LANC_HORAS[OP/OS],LAN_OP[[#This Row],[OP/OS]],LANC_HORAS[TOTAL GERAL NORMAL])</f>
        <v>0</v>
      </c>
      <c r="Z59" s="10">
        <f>SUMIF(LANC_HORAS[OP/OS],LAN_OP[[#This Row],[OP/OS]],LANC_HORAS[TOTAL GERAL EXTRAS])</f>
        <v>0</v>
      </c>
      <c r="AA59" s="12">
        <f>SUMIF(LANC_HORAS[OP/OS],LAN_OP[[#This Row],[OP/OS]],LANC_HORAS[TOTAL H.N])</f>
        <v>0</v>
      </c>
      <c r="AB59" s="12">
        <f>SUMIF(LANC_HORAS[OP/OS],LAN_OP[[#This Row],[OP/OS]],LANC_HORAS[TOTAL H.E])</f>
        <v>0</v>
      </c>
      <c r="AC59" s="10">
        <f>SUMIF(LANC_DESPESAS[OS/OP],LAN_OP[[#This Row],[OP/OS]],LANC_DESPESAS[OBSERVAÇÕES])</f>
        <v>0</v>
      </c>
      <c r="AD59" s="3">
        <f>SUMIF(LANC_DESLOC[OS/OP],LAN_OP[[#This Row],[OP/OS]],LANC_DESLOC[ANO])</f>
        <v>0</v>
      </c>
      <c r="AE5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59" s="3">
        <f>LAN_OP[[#This Row],[TOTAL PARCIAL (M.O+MT+DESP)]]*1.08</f>
        <v>0</v>
      </c>
      <c r="AG59" s="3">
        <f>LAN_OP[[#This Row],[TOTAL PARCIAL + OUTROS CUSTOS (8%)]]*1.09</f>
        <v>0</v>
      </c>
      <c r="AH59" t="str">
        <f>IF(AND(U59&gt;=CALENDARIO!$B$2,U59&lt;=CALENDARIO!$C$2),"JANEIRO",IF(AND(U59&gt;=CALENDARIO!$B$3,U59&lt;=CALENDARIO!$C$3),"FEVEREIRO",IF(AND(U59&gt;=CALENDARIO!$B$4,U59&lt;=CALENDARIO!$C$4),"MARÇO",IF(AND(U59&gt;=CALENDARIO!$B$5,U59&lt;=CALENDARIO!$C$5),"ABRIL",IF(AND(U59&gt;=CALENDARIO!$B$6,U59&lt;=CALENDARIO!$C$6),"MAIO",IF(AND(U59&gt;=CALENDARIO!$B$7,U59&lt;=CALENDARIO!$C$7),"JUNHO",IF(AND(U59&gt;=CALENDARIO!$B$8,U59&lt;=CALENDARIO!$C$8),"JULHO",IF(AND(U59&gt;=CALENDARIO!$B$9,U59&lt;=CALENDARIO!$C$9),"AGOSTO",IF(AND(U59&gt;=CALENDARIO!$B$10,U59&lt;=CALENDARIO!$C$10),"SETEMBRO",IF(AND(U59&gt;=CALENDARIO!$B$11,U59&lt;=CALENDARIO!$C$11),"OUTUBRO",IF(AND(U59&gt;=CALENDARIO!$B$12,U59&lt;=CALENDARIO!$C$12),"NOVEMBRO",IF(AND(U59&gt;=CALENDARIO!$B$13,U59&lt;=CALENDARIO!$C$13),"DEZEMBRO","-"))))))))))))</f>
        <v>-</v>
      </c>
      <c r="AI59" s="3">
        <f>LAN_OP[[#This Row],[VALOR CONTRATO]]-LAN_OP[[#This Row],[TOTAL CUSTO (O.C + DI + MT + MO+DESP)]]</f>
        <v>0</v>
      </c>
      <c r="AJ59" s="11" t="str">
        <f>IFERROR(LAN_OP[[#This Row],[R$ (CONTRATO - CUSTOS)]]/LAN_OP[[#This Row],[VALOR CONTRATO]],"")</f>
        <v/>
      </c>
      <c r="AK59" s="3">
        <f>LAN_OP[[#This Row],[VALOR CONTRATO]]-LAN_OP[[#This Row],[VALOR FATURADO]]</f>
        <v>0</v>
      </c>
      <c r="AL59" s="3" t="str">
        <f>IF(AND(C59&gt;=CALENDARIO!$B$2,C59&lt;=CALENDARIO!$C$2),"JANEIRO",IF(AND(C59&gt;=CALENDARIO!$B$3,C59&lt;=CALENDARIO!$C$3),"FEVEREIRO",IF(AND(C59&gt;=CALENDARIO!$B$4,C59&lt;=CALENDARIO!$C$4),"MARÇO",IF(AND(C59&gt;=CALENDARIO!$B$5,C59&lt;=CALENDARIO!$C$5),"ABRIL",IF(AND(C59&gt;=CALENDARIO!$B$6,C59&lt;=CALENDARIO!$C$6),"MAIO",IF(AND(C59&gt;=CALENDARIO!$B$7,C59&lt;=CALENDARIO!$C$7),"JUNHO",IF(AND(C59&gt;=CALENDARIO!$B$8,C59&lt;=CALENDARIO!$C$8),"JULHO",IF(AND(C59&gt;=CALENDARIO!$B$9,C59&lt;=CALENDARIO!$C$9),"AGOSTO",IF(AND(C59&gt;=CALENDARIO!$B$10,C59&lt;=CALENDARIO!$C$10),"SETEMBRO",IF(AND(C59&gt;=CALENDARIO!$B$11,C59&lt;=CALENDARIO!$C$11),"OUTUBRO",IF(AND(C59&gt;=CALENDARIO!$B$12,C59&lt;=CALENDARIO!$C$12),"NOVEMBRO",IF(AND(C59&gt;=CALENDARIO!$B$13,C59&lt;=CALENDARIO!$C$13),"DEZEMBRO","-"))))))))))))</f>
        <v>-</v>
      </c>
      <c r="AM59" s="3" t="str">
        <f>RIGHT(LAN_OP[[#This Row],[OP/OS]],4)</f>
        <v/>
      </c>
    </row>
    <row r="60" spans="2:39" x14ac:dyDescent="0.3">
      <c r="B60" s="80"/>
      <c r="C60" s="140"/>
      <c r="G60"/>
      <c r="H60"/>
      <c r="I60" s="3"/>
      <c r="J60" s="3"/>
      <c r="K60" s="11" t="e">
        <f>LAN_OP[[#This Row],[VALOR FATURADO]]/LAN_OP[[#This Row],[VALOR CONTRATO]]</f>
        <v>#DIV/0!</v>
      </c>
      <c r="L60" s="4">
        <f>LAN_OP[[#This Row],[VALOR CONTRATO]]-LAN_OP[[#This Row],[VALOR FATURADO]]</f>
        <v>0</v>
      </c>
      <c r="M60" s="11" t="e">
        <v>#DIV/0!</v>
      </c>
      <c r="N60" s="138"/>
      <c r="O60" s="138"/>
      <c r="P60" s="11"/>
      <c r="Q60" s="141"/>
      <c r="R60" s="3"/>
      <c r="S60" s="4"/>
      <c r="T60" s="8" t="str">
        <f>IFERROR(VLOOKUP(LAN_OP[[#This Row],[OP/OS]],LANC_FAT!A:M,2,0),"-")</f>
        <v>-</v>
      </c>
      <c r="U60" s="139" t="str">
        <f>IFERROR(VLOOKUP(LAN_OP[[#This Row],[OP/OS]],LANC_FAT!A:M,8,0),"-")</f>
        <v>-</v>
      </c>
      <c r="V60" s="10">
        <f>SUMIF(LANC_FAT[OP/OS],LAN_OP[[#This Row],[OP/OS]],LANC_FAT[VALOR DA NF COM IMPOSTO])</f>
        <v>0</v>
      </c>
      <c r="W60" s="3"/>
      <c r="X60" s="10">
        <f>SUMIF(LANC_COMPRA[OP/OS],LAN_OP[[#This Row],[OP/OS]],LANC_COMPRA[[VALOR ]])</f>
        <v>0</v>
      </c>
      <c r="Y60" s="10">
        <f>SUMIF(LANC_HORAS[OP/OS],LAN_OP[[#This Row],[OP/OS]],LANC_HORAS[TOTAL GERAL NORMAL])</f>
        <v>0</v>
      </c>
      <c r="Z60" s="10">
        <f>SUMIF(LANC_HORAS[OP/OS],LAN_OP[[#This Row],[OP/OS]],LANC_HORAS[TOTAL GERAL EXTRAS])</f>
        <v>0</v>
      </c>
      <c r="AA60" s="12">
        <f>SUMIF(LANC_HORAS[OP/OS],LAN_OP[[#This Row],[OP/OS]],LANC_HORAS[TOTAL H.N])</f>
        <v>0</v>
      </c>
      <c r="AB60" s="12">
        <f>SUMIF(LANC_HORAS[OP/OS],LAN_OP[[#This Row],[OP/OS]],LANC_HORAS[TOTAL H.E])</f>
        <v>0</v>
      </c>
      <c r="AC60" s="10">
        <f>SUMIF(LANC_DESPESAS[OS/OP],LAN_OP[[#This Row],[OP/OS]],LANC_DESPESAS[OBSERVAÇÕES])</f>
        <v>0</v>
      </c>
      <c r="AD60" s="3">
        <f>SUMIF(LANC_DESLOC[OS/OP],LAN_OP[[#This Row],[OP/OS]],LANC_DESLOC[ANO])</f>
        <v>0</v>
      </c>
      <c r="AE6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0" s="3">
        <f>LAN_OP[[#This Row],[TOTAL PARCIAL (M.O+MT+DESP)]]*1.08</f>
        <v>0</v>
      </c>
      <c r="AG60" s="3">
        <f>LAN_OP[[#This Row],[TOTAL PARCIAL + OUTROS CUSTOS (8%)]]*1.09</f>
        <v>0</v>
      </c>
      <c r="AH60" t="str">
        <f>IF(AND(U60&gt;=CALENDARIO!$B$2,U60&lt;=CALENDARIO!$C$2),"JANEIRO",IF(AND(U60&gt;=CALENDARIO!$B$3,U60&lt;=CALENDARIO!$C$3),"FEVEREIRO",IF(AND(U60&gt;=CALENDARIO!$B$4,U60&lt;=CALENDARIO!$C$4),"MARÇO",IF(AND(U60&gt;=CALENDARIO!$B$5,U60&lt;=CALENDARIO!$C$5),"ABRIL",IF(AND(U60&gt;=CALENDARIO!$B$6,U60&lt;=CALENDARIO!$C$6),"MAIO",IF(AND(U60&gt;=CALENDARIO!$B$7,U60&lt;=CALENDARIO!$C$7),"JUNHO",IF(AND(U60&gt;=CALENDARIO!$B$8,U60&lt;=CALENDARIO!$C$8),"JULHO",IF(AND(U60&gt;=CALENDARIO!$B$9,U60&lt;=CALENDARIO!$C$9),"AGOSTO",IF(AND(U60&gt;=CALENDARIO!$B$10,U60&lt;=CALENDARIO!$C$10),"SETEMBRO",IF(AND(U60&gt;=CALENDARIO!$B$11,U60&lt;=CALENDARIO!$C$11),"OUTUBRO",IF(AND(U60&gt;=CALENDARIO!$B$12,U60&lt;=CALENDARIO!$C$12),"NOVEMBRO",IF(AND(U60&gt;=CALENDARIO!$B$13,U60&lt;=CALENDARIO!$C$13),"DEZEMBRO","-"))))))))))))</f>
        <v>-</v>
      </c>
      <c r="AI60" s="3">
        <f>LAN_OP[[#This Row],[VALOR CONTRATO]]-LAN_OP[[#This Row],[TOTAL CUSTO (O.C + DI + MT + MO+DESP)]]</f>
        <v>0</v>
      </c>
      <c r="AJ60" s="11" t="str">
        <f>IFERROR(LAN_OP[[#This Row],[R$ (CONTRATO - CUSTOS)]]/LAN_OP[[#This Row],[VALOR CONTRATO]],"")</f>
        <v/>
      </c>
      <c r="AK60" s="3">
        <f>LAN_OP[[#This Row],[VALOR CONTRATO]]-LAN_OP[[#This Row],[VALOR FATURADO]]</f>
        <v>0</v>
      </c>
      <c r="AL60" s="3" t="str">
        <f>IF(AND(C60&gt;=CALENDARIO!$B$2,C60&lt;=CALENDARIO!$C$2),"JANEIRO",IF(AND(C60&gt;=CALENDARIO!$B$3,C60&lt;=CALENDARIO!$C$3),"FEVEREIRO",IF(AND(C60&gt;=CALENDARIO!$B$4,C60&lt;=CALENDARIO!$C$4),"MARÇO",IF(AND(C60&gt;=CALENDARIO!$B$5,C60&lt;=CALENDARIO!$C$5),"ABRIL",IF(AND(C60&gt;=CALENDARIO!$B$6,C60&lt;=CALENDARIO!$C$6),"MAIO",IF(AND(C60&gt;=CALENDARIO!$B$7,C60&lt;=CALENDARIO!$C$7),"JUNHO",IF(AND(C60&gt;=CALENDARIO!$B$8,C60&lt;=CALENDARIO!$C$8),"JULHO",IF(AND(C60&gt;=CALENDARIO!$B$9,C60&lt;=CALENDARIO!$C$9),"AGOSTO",IF(AND(C60&gt;=CALENDARIO!$B$10,C60&lt;=CALENDARIO!$C$10),"SETEMBRO",IF(AND(C60&gt;=CALENDARIO!$B$11,C60&lt;=CALENDARIO!$C$11),"OUTUBRO",IF(AND(C60&gt;=CALENDARIO!$B$12,C60&lt;=CALENDARIO!$C$12),"NOVEMBRO",IF(AND(C60&gt;=CALENDARIO!$B$13,C60&lt;=CALENDARIO!$C$13),"DEZEMBRO","-"))))))))))))</f>
        <v>-</v>
      </c>
      <c r="AM60" s="3" t="str">
        <f>RIGHT(LAN_OP[[#This Row],[OP/OS]],4)</f>
        <v/>
      </c>
    </row>
    <row r="61" spans="2:39" x14ac:dyDescent="0.3">
      <c r="B61" s="80"/>
      <c r="C61" s="140"/>
      <c r="G61"/>
      <c r="H61"/>
      <c r="I61" s="3"/>
      <c r="J61" s="3"/>
      <c r="K61" s="11" t="e">
        <f>LAN_OP[[#This Row],[VALOR FATURADO]]/LAN_OP[[#This Row],[VALOR CONTRATO]]</f>
        <v>#DIV/0!</v>
      </c>
      <c r="L61" s="4">
        <f>LAN_OP[[#This Row],[VALOR CONTRATO]]-LAN_OP[[#This Row],[VALOR FATURADO]]</f>
        <v>0</v>
      </c>
      <c r="M61" s="11" t="e">
        <v>#DIV/0!</v>
      </c>
      <c r="N61" s="138"/>
      <c r="O61" s="138"/>
      <c r="P61" s="11"/>
      <c r="Q61" s="141"/>
      <c r="R61" s="3"/>
      <c r="S61" s="4"/>
      <c r="T61" s="8" t="str">
        <f>IFERROR(VLOOKUP(LAN_OP[[#This Row],[OP/OS]],LANC_FAT!A:M,2,0),"-")</f>
        <v>-</v>
      </c>
      <c r="U61" s="139" t="str">
        <f>IFERROR(VLOOKUP(LAN_OP[[#This Row],[OP/OS]],LANC_FAT!A:M,8,0),"-")</f>
        <v>-</v>
      </c>
      <c r="V61" s="10">
        <f>SUMIF(LANC_FAT[OP/OS],LAN_OP[[#This Row],[OP/OS]],LANC_FAT[VALOR DA NF COM IMPOSTO])</f>
        <v>0</v>
      </c>
      <c r="W61" s="3"/>
      <c r="X61" s="10">
        <f>SUMIF(LANC_COMPRA[OP/OS],LAN_OP[[#This Row],[OP/OS]],LANC_COMPRA[[VALOR ]])</f>
        <v>0</v>
      </c>
      <c r="Y61" s="10">
        <f>SUMIF(LANC_HORAS[OP/OS],LAN_OP[[#This Row],[OP/OS]],LANC_HORAS[TOTAL GERAL NORMAL])</f>
        <v>0</v>
      </c>
      <c r="Z61" s="10">
        <f>SUMIF(LANC_HORAS[OP/OS],LAN_OP[[#This Row],[OP/OS]],LANC_HORAS[TOTAL GERAL EXTRAS])</f>
        <v>0</v>
      </c>
      <c r="AA61" s="12">
        <f>SUMIF(LANC_HORAS[OP/OS],LAN_OP[[#This Row],[OP/OS]],LANC_HORAS[TOTAL H.N])</f>
        <v>0</v>
      </c>
      <c r="AB61" s="12">
        <f>SUMIF(LANC_HORAS[OP/OS],LAN_OP[[#This Row],[OP/OS]],LANC_HORAS[TOTAL H.E])</f>
        <v>0</v>
      </c>
      <c r="AC61" s="10">
        <f>SUMIF(LANC_DESPESAS[OS/OP],LAN_OP[[#This Row],[OP/OS]],LANC_DESPESAS[OBSERVAÇÕES])</f>
        <v>0</v>
      </c>
      <c r="AD61" s="3">
        <f>SUMIF(LANC_DESLOC[OS/OP],LAN_OP[[#This Row],[OP/OS]],LANC_DESLOC[ANO])</f>
        <v>0</v>
      </c>
      <c r="AE6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1" s="3">
        <f>LAN_OP[[#This Row],[TOTAL PARCIAL (M.O+MT+DESP)]]*1.08</f>
        <v>0</v>
      </c>
      <c r="AG61" s="3">
        <f>LAN_OP[[#This Row],[TOTAL PARCIAL + OUTROS CUSTOS (8%)]]*1.09</f>
        <v>0</v>
      </c>
      <c r="AH61" t="str">
        <f>IF(AND(U61&gt;=CALENDARIO!$B$2,U61&lt;=CALENDARIO!$C$2),"JANEIRO",IF(AND(U61&gt;=CALENDARIO!$B$3,U61&lt;=CALENDARIO!$C$3),"FEVEREIRO",IF(AND(U61&gt;=CALENDARIO!$B$4,U61&lt;=CALENDARIO!$C$4),"MARÇO",IF(AND(U61&gt;=CALENDARIO!$B$5,U61&lt;=CALENDARIO!$C$5),"ABRIL",IF(AND(U61&gt;=CALENDARIO!$B$6,U61&lt;=CALENDARIO!$C$6),"MAIO",IF(AND(U61&gt;=CALENDARIO!$B$7,U61&lt;=CALENDARIO!$C$7),"JUNHO",IF(AND(U61&gt;=CALENDARIO!$B$8,U61&lt;=CALENDARIO!$C$8),"JULHO",IF(AND(U61&gt;=CALENDARIO!$B$9,U61&lt;=CALENDARIO!$C$9),"AGOSTO",IF(AND(U61&gt;=CALENDARIO!$B$10,U61&lt;=CALENDARIO!$C$10),"SETEMBRO",IF(AND(U61&gt;=CALENDARIO!$B$11,U61&lt;=CALENDARIO!$C$11),"OUTUBRO",IF(AND(U61&gt;=CALENDARIO!$B$12,U61&lt;=CALENDARIO!$C$12),"NOVEMBRO",IF(AND(U61&gt;=CALENDARIO!$B$13,U61&lt;=CALENDARIO!$C$13),"DEZEMBRO","-"))))))))))))</f>
        <v>-</v>
      </c>
      <c r="AI61" s="3">
        <f>LAN_OP[[#This Row],[VALOR CONTRATO]]-LAN_OP[[#This Row],[TOTAL CUSTO (O.C + DI + MT + MO+DESP)]]</f>
        <v>0</v>
      </c>
      <c r="AJ61" s="11" t="str">
        <f>IFERROR(LAN_OP[[#This Row],[R$ (CONTRATO - CUSTOS)]]/LAN_OP[[#This Row],[VALOR CONTRATO]],"")</f>
        <v/>
      </c>
      <c r="AK61" s="3">
        <f>LAN_OP[[#This Row],[VALOR CONTRATO]]-LAN_OP[[#This Row],[VALOR FATURADO]]</f>
        <v>0</v>
      </c>
      <c r="AL61" s="3" t="str">
        <f>IF(AND(C61&gt;=CALENDARIO!$B$2,C61&lt;=CALENDARIO!$C$2),"JANEIRO",IF(AND(C61&gt;=CALENDARIO!$B$3,C61&lt;=CALENDARIO!$C$3),"FEVEREIRO",IF(AND(C61&gt;=CALENDARIO!$B$4,C61&lt;=CALENDARIO!$C$4),"MARÇO",IF(AND(C61&gt;=CALENDARIO!$B$5,C61&lt;=CALENDARIO!$C$5),"ABRIL",IF(AND(C61&gt;=CALENDARIO!$B$6,C61&lt;=CALENDARIO!$C$6),"MAIO",IF(AND(C61&gt;=CALENDARIO!$B$7,C61&lt;=CALENDARIO!$C$7),"JUNHO",IF(AND(C61&gt;=CALENDARIO!$B$8,C61&lt;=CALENDARIO!$C$8),"JULHO",IF(AND(C61&gt;=CALENDARIO!$B$9,C61&lt;=CALENDARIO!$C$9),"AGOSTO",IF(AND(C61&gt;=CALENDARIO!$B$10,C61&lt;=CALENDARIO!$C$10),"SETEMBRO",IF(AND(C61&gt;=CALENDARIO!$B$11,C61&lt;=CALENDARIO!$C$11),"OUTUBRO",IF(AND(C61&gt;=CALENDARIO!$B$12,C61&lt;=CALENDARIO!$C$12),"NOVEMBRO",IF(AND(C61&gt;=CALENDARIO!$B$13,C61&lt;=CALENDARIO!$C$13),"DEZEMBRO","-"))))))))))))</f>
        <v>-</v>
      </c>
      <c r="AM61" s="3" t="str">
        <f>RIGHT(LAN_OP[[#This Row],[OP/OS]],4)</f>
        <v/>
      </c>
    </row>
    <row r="62" spans="2:39" x14ac:dyDescent="0.3">
      <c r="B62" s="80"/>
      <c r="C62" s="140"/>
      <c r="G62"/>
      <c r="H62"/>
      <c r="I62" s="3"/>
      <c r="J62" s="3"/>
      <c r="K62" s="11" t="e">
        <f>LAN_OP[[#This Row],[VALOR FATURADO]]/LAN_OP[[#This Row],[VALOR CONTRATO]]</f>
        <v>#DIV/0!</v>
      </c>
      <c r="L62" s="4">
        <f>LAN_OP[[#This Row],[VALOR CONTRATO]]-LAN_OP[[#This Row],[VALOR FATURADO]]</f>
        <v>0</v>
      </c>
      <c r="M62" s="11" t="e">
        <v>#DIV/0!</v>
      </c>
      <c r="N62" s="138"/>
      <c r="O62" s="138"/>
      <c r="P62" s="11"/>
      <c r="Q62" s="141"/>
      <c r="R62" s="3"/>
      <c r="S62" s="4"/>
      <c r="T62" s="8" t="str">
        <f>IFERROR(VLOOKUP(LAN_OP[[#This Row],[OP/OS]],LANC_FAT!A:M,2,0),"-")</f>
        <v>-</v>
      </c>
      <c r="U62" s="139" t="str">
        <f>IFERROR(VLOOKUP(LAN_OP[[#This Row],[OP/OS]],LANC_FAT!A:M,8,0),"-")</f>
        <v>-</v>
      </c>
      <c r="V62" s="10">
        <f>SUMIF(LANC_FAT[OP/OS],LAN_OP[[#This Row],[OP/OS]],LANC_FAT[VALOR DA NF COM IMPOSTO])</f>
        <v>0</v>
      </c>
      <c r="W62" s="3"/>
      <c r="X62" s="10">
        <f>SUMIF(LANC_COMPRA[OP/OS],LAN_OP[[#This Row],[OP/OS]],LANC_COMPRA[[VALOR ]])</f>
        <v>0</v>
      </c>
      <c r="Y62" s="10">
        <f>SUMIF(LANC_HORAS[OP/OS],LAN_OP[[#This Row],[OP/OS]],LANC_HORAS[TOTAL GERAL NORMAL])</f>
        <v>0</v>
      </c>
      <c r="Z62" s="10">
        <f>SUMIF(LANC_HORAS[OP/OS],LAN_OP[[#This Row],[OP/OS]],LANC_HORAS[TOTAL GERAL EXTRAS])</f>
        <v>0</v>
      </c>
      <c r="AA62" s="12">
        <f>SUMIF(LANC_HORAS[OP/OS],LAN_OP[[#This Row],[OP/OS]],LANC_HORAS[TOTAL H.N])</f>
        <v>0</v>
      </c>
      <c r="AB62" s="12">
        <f>SUMIF(LANC_HORAS[OP/OS],LAN_OP[[#This Row],[OP/OS]],LANC_HORAS[TOTAL H.E])</f>
        <v>0</v>
      </c>
      <c r="AC62" s="10">
        <f>SUMIF(LANC_DESPESAS[OS/OP],LAN_OP[[#This Row],[OP/OS]],LANC_DESPESAS[OBSERVAÇÕES])</f>
        <v>0</v>
      </c>
      <c r="AD62" s="3">
        <f>SUMIF(LANC_DESLOC[OS/OP],LAN_OP[[#This Row],[OP/OS]],LANC_DESLOC[ANO])</f>
        <v>0</v>
      </c>
      <c r="AE6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2" s="3">
        <f>LAN_OP[[#This Row],[TOTAL PARCIAL (M.O+MT+DESP)]]*1.08</f>
        <v>0</v>
      </c>
      <c r="AG62" s="3">
        <f>LAN_OP[[#This Row],[TOTAL PARCIAL + OUTROS CUSTOS (8%)]]*1.09</f>
        <v>0</v>
      </c>
      <c r="AH62" t="str">
        <f>IF(AND(U62&gt;=CALENDARIO!$B$2,U62&lt;=CALENDARIO!$C$2),"JANEIRO",IF(AND(U62&gt;=CALENDARIO!$B$3,U62&lt;=CALENDARIO!$C$3),"FEVEREIRO",IF(AND(U62&gt;=CALENDARIO!$B$4,U62&lt;=CALENDARIO!$C$4),"MARÇO",IF(AND(U62&gt;=CALENDARIO!$B$5,U62&lt;=CALENDARIO!$C$5),"ABRIL",IF(AND(U62&gt;=CALENDARIO!$B$6,U62&lt;=CALENDARIO!$C$6),"MAIO",IF(AND(U62&gt;=CALENDARIO!$B$7,U62&lt;=CALENDARIO!$C$7),"JUNHO",IF(AND(U62&gt;=CALENDARIO!$B$8,U62&lt;=CALENDARIO!$C$8),"JULHO",IF(AND(U62&gt;=CALENDARIO!$B$9,U62&lt;=CALENDARIO!$C$9),"AGOSTO",IF(AND(U62&gt;=CALENDARIO!$B$10,U62&lt;=CALENDARIO!$C$10),"SETEMBRO",IF(AND(U62&gt;=CALENDARIO!$B$11,U62&lt;=CALENDARIO!$C$11),"OUTUBRO",IF(AND(U62&gt;=CALENDARIO!$B$12,U62&lt;=CALENDARIO!$C$12),"NOVEMBRO",IF(AND(U62&gt;=CALENDARIO!$B$13,U62&lt;=CALENDARIO!$C$13),"DEZEMBRO","-"))))))))))))</f>
        <v>-</v>
      </c>
      <c r="AI62" s="3">
        <f>LAN_OP[[#This Row],[VALOR CONTRATO]]-LAN_OP[[#This Row],[TOTAL CUSTO (O.C + DI + MT + MO+DESP)]]</f>
        <v>0</v>
      </c>
      <c r="AJ62" s="11" t="str">
        <f>IFERROR(LAN_OP[[#This Row],[R$ (CONTRATO - CUSTOS)]]/LAN_OP[[#This Row],[VALOR CONTRATO]],"")</f>
        <v/>
      </c>
      <c r="AK62" s="3">
        <f>LAN_OP[[#This Row],[VALOR CONTRATO]]-LAN_OP[[#This Row],[VALOR FATURADO]]</f>
        <v>0</v>
      </c>
      <c r="AL62" s="3" t="str">
        <f>IF(AND(C62&gt;=CALENDARIO!$B$2,C62&lt;=CALENDARIO!$C$2),"JANEIRO",IF(AND(C62&gt;=CALENDARIO!$B$3,C62&lt;=CALENDARIO!$C$3),"FEVEREIRO",IF(AND(C62&gt;=CALENDARIO!$B$4,C62&lt;=CALENDARIO!$C$4),"MARÇO",IF(AND(C62&gt;=CALENDARIO!$B$5,C62&lt;=CALENDARIO!$C$5),"ABRIL",IF(AND(C62&gt;=CALENDARIO!$B$6,C62&lt;=CALENDARIO!$C$6),"MAIO",IF(AND(C62&gt;=CALENDARIO!$B$7,C62&lt;=CALENDARIO!$C$7),"JUNHO",IF(AND(C62&gt;=CALENDARIO!$B$8,C62&lt;=CALENDARIO!$C$8),"JULHO",IF(AND(C62&gt;=CALENDARIO!$B$9,C62&lt;=CALENDARIO!$C$9),"AGOSTO",IF(AND(C62&gt;=CALENDARIO!$B$10,C62&lt;=CALENDARIO!$C$10),"SETEMBRO",IF(AND(C62&gt;=CALENDARIO!$B$11,C62&lt;=CALENDARIO!$C$11),"OUTUBRO",IF(AND(C62&gt;=CALENDARIO!$B$12,C62&lt;=CALENDARIO!$C$12),"NOVEMBRO",IF(AND(C62&gt;=CALENDARIO!$B$13,C62&lt;=CALENDARIO!$C$13),"DEZEMBRO","-"))))))))))))</f>
        <v>-</v>
      </c>
      <c r="AM62" s="3" t="str">
        <f>RIGHT(LAN_OP[[#This Row],[OP/OS]],4)</f>
        <v/>
      </c>
    </row>
    <row r="63" spans="2:39" x14ac:dyDescent="0.3">
      <c r="B63" s="80"/>
      <c r="C63" s="140"/>
      <c r="G63"/>
      <c r="H63"/>
      <c r="I63" s="3"/>
      <c r="J63" s="3"/>
      <c r="K63" s="11" t="e">
        <f>LAN_OP[[#This Row],[VALOR FATURADO]]/LAN_OP[[#This Row],[VALOR CONTRATO]]</f>
        <v>#DIV/0!</v>
      </c>
      <c r="L63" s="4">
        <f>LAN_OP[[#This Row],[VALOR CONTRATO]]-LAN_OP[[#This Row],[VALOR FATURADO]]</f>
        <v>0</v>
      </c>
      <c r="M63" s="11" t="e">
        <v>#DIV/0!</v>
      </c>
      <c r="N63" s="138"/>
      <c r="O63" s="138"/>
      <c r="P63" s="11"/>
      <c r="Q63" s="141"/>
      <c r="R63" s="3"/>
      <c r="S63" s="4"/>
      <c r="T63" s="8" t="str">
        <f>IFERROR(VLOOKUP(LAN_OP[[#This Row],[OP/OS]],LANC_FAT!A:M,2,0),"-")</f>
        <v>-</v>
      </c>
      <c r="U63" s="139" t="str">
        <f>IFERROR(VLOOKUP(LAN_OP[[#This Row],[OP/OS]],LANC_FAT!A:M,8,0),"-")</f>
        <v>-</v>
      </c>
      <c r="V63" s="10">
        <f>SUMIF(LANC_FAT[OP/OS],LAN_OP[[#This Row],[OP/OS]],LANC_FAT[VALOR DA NF COM IMPOSTO])</f>
        <v>0</v>
      </c>
      <c r="W63" s="3"/>
      <c r="X63" s="10">
        <f>SUMIF(LANC_COMPRA[OP/OS],LAN_OP[[#This Row],[OP/OS]],LANC_COMPRA[[VALOR ]])</f>
        <v>0</v>
      </c>
      <c r="Y63" s="10">
        <f>SUMIF(LANC_HORAS[OP/OS],LAN_OP[[#This Row],[OP/OS]],LANC_HORAS[TOTAL GERAL NORMAL])</f>
        <v>0</v>
      </c>
      <c r="Z63" s="10">
        <f>SUMIF(LANC_HORAS[OP/OS],LAN_OP[[#This Row],[OP/OS]],LANC_HORAS[TOTAL GERAL EXTRAS])</f>
        <v>0</v>
      </c>
      <c r="AA63" s="12">
        <f>SUMIF(LANC_HORAS[OP/OS],LAN_OP[[#This Row],[OP/OS]],LANC_HORAS[TOTAL H.N])</f>
        <v>0</v>
      </c>
      <c r="AB63" s="12">
        <f>SUMIF(LANC_HORAS[OP/OS],LAN_OP[[#This Row],[OP/OS]],LANC_HORAS[TOTAL H.E])</f>
        <v>0</v>
      </c>
      <c r="AC63" s="10">
        <f>SUMIF(LANC_DESPESAS[OS/OP],LAN_OP[[#This Row],[OP/OS]],LANC_DESPESAS[OBSERVAÇÕES])</f>
        <v>0</v>
      </c>
      <c r="AD63" s="3">
        <f>SUMIF(LANC_DESLOC[OS/OP],LAN_OP[[#This Row],[OP/OS]],LANC_DESLOC[ANO])</f>
        <v>0</v>
      </c>
      <c r="AE6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3" s="3">
        <f>LAN_OP[[#This Row],[TOTAL PARCIAL (M.O+MT+DESP)]]*1.08</f>
        <v>0</v>
      </c>
      <c r="AG63" s="3">
        <f>LAN_OP[[#This Row],[TOTAL PARCIAL + OUTROS CUSTOS (8%)]]*1.09</f>
        <v>0</v>
      </c>
      <c r="AH63" t="str">
        <f>IF(AND(U63&gt;=CALENDARIO!$B$2,U63&lt;=CALENDARIO!$C$2),"JANEIRO",IF(AND(U63&gt;=CALENDARIO!$B$3,U63&lt;=CALENDARIO!$C$3),"FEVEREIRO",IF(AND(U63&gt;=CALENDARIO!$B$4,U63&lt;=CALENDARIO!$C$4),"MARÇO",IF(AND(U63&gt;=CALENDARIO!$B$5,U63&lt;=CALENDARIO!$C$5),"ABRIL",IF(AND(U63&gt;=CALENDARIO!$B$6,U63&lt;=CALENDARIO!$C$6),"MAIO",IF(AND(U63&gt;=CALENDARIO!$B$7,U63&lt;=CALENDARIO!$C$7),"JUNHO",IF(AND(U63&gt;=CALENDARIO!$B$8,U63&lt;=CALENDARIO!$C$8),"JULHO",IF(AND(U63&gt;=CALENDARIO!$B$9,U63&lt;=CALENDARIO!$C$9),"AGOSTO",IF(AND(U63&gt;=CALENDARIO!$B$10,U63&lt;=CALENDARIO!$C$10),"SETEMBRO",IF(AND(U63&gt;=CALENDARIO!$B$11,U63&lt;=CALENDARIO!$C$11),"OUTUBRO",IF(AND(U63&gt;=CALENDARIO!$B$12,U63&lt;=CALENDARIO!$C$12),"NOVEMBRO",IF(AND(U63&gt;=CALENDARIO!$B$13,U63&lt;=CALENDARIO!$C$13),"DEZEMBRO","-"))))))))))))</f>
        <v>-</v>
      </c>
      <c r="AI63" s="3">
        <f>LAN_OP[[#This Row],[VALOR CONTRATO]]-LAN_OP[[#This Row],[TOTAL CUSTO (O.C + DI + MT + MO+DESP)]]</f>
        <v>0</v>
      </c>
      <c r="AJ63" s="11" t="str">
        <f>IFERROR(LAN_OP[[#This Row],[R$ (CONTRATO - CUSTOS)]]/LAN_OP[[#This Row],[VALOR CONTRATO]],"")</f>
        <v/>
      </c>
      <c r="AK63" s="3">
        <f>LAN_OP[[#This Row],[VALOR CONTRATO]]-LAN_OP[[#This Row],[VALOR FATURADO]]</f>
        <v>0</v>
      </c>
      <c r="AL63" s="3" t="str">
        <f>IF(AND(C63&gt;=CALENDARIO!$B$2,C63&lt;=CALENDARIO!$C$2),"JANEIRO",IF(AND(C63&gt;=CALENDARIO!$B$3,C63&lt;=CALENDARIO!$C$3),"FEVEREIRO",IF(AND(C63&gt;=CALENDARIO!$B$4,C63&lt;=CALENDARIO!$C$4),"MARÇO",IF(AND(C63&gt;=CALENDARIO!$B$5,C63&lt;=CALENDARIO!$C$5),"ABRIL",IF(AND(C63&gt;=CALENDARIO!$B$6,C63&lt;=CALENDARIO!$C$6),"MAIO",IF(AND(C63&gt;=CALENDARIO!$B$7,C63&lt;=CALENDARIO!$C$7),"JUNHO",IF(AND(C63&gt;=CALENDARIO!$B$8,C63&lt;=CALENDARIO!$C$8),"JULHO",IF(AND(C63&gt;=CALENDARIO!$B$9,C63&lt;=CALENDARIO!$C$9),"AGOSTO",IF(AND(C63&gt;=CALENDARIO!$B$10,C63&lt;=CALENDARIO!$C$10),"SETEMBRO",IF(AND(C63&gt;=CALENDARIO!$B$11,C63&lt;=CALENDARIO!$C$11),"OUTUBRO",IF(AND(C63&gt;=CALENDARIO!$B$12,C63&lt;=CALENDARIO!$C$12),"NOVEMBRO",IF(AND(C63&gt;=CALENDARIO!$B$13,C63&lt;=CALENDARIO!$C$13),"DEZEMBRO","-"))))))))))))</f>
        <v>-</v>
      </c>
      <c r="AM63" s="3" t="str">
        <f>RIGHT(LAN_OP[[#This Row],[OP/OS]],4)</f>
        <v/>
      </c>
    </row>
    <row r="64" spans="2:39" x14ac:dyDescent="0.3">
      <c r="B64" s="80"/>
      <c r="C64" s="140"/>
      <c r="G64"/>
      <c r="H64"/>
      <c r="I64" s="3"/>
      <c r="J64" s="3"/>
      <c r="K64" s="11" t="e">
        <f>LAN_OP[[#This Row],[VALOR FATURADO]]/LAN_OP[[#This Row],[VALOR CONTRATO]]</f>
        <v>#DIV/0!</v>
      </c>
      <c r="L64" s="4">
        <f>LAN_OP[[#This Row],[VALOR CONTRATO]]-LAN_OP[[#This Row],[VALOR FATURADO]]</f>
        <v>0</v>
      </c>
      <c r="M64" s="11" t="e">
        <v>#DIV/0!</v>
      </c>
      <c r="N64" s="138"/>
      <c r="O64" s="138"/>
      <c r="P64" s="11"/>
      <c r="Q64" s="141"/>
      <c r="R64" s="3"/>
      <c r="S64" s="4"/>
      <c r="T64" s="8" t="str">
        <f>IFERROR(VLOOKUP(LAN_OP[[#This Row],[OP/OS]],LANC_FAT!A:M,2,0),"-")</f>
        <v>-</v>
      </c>
      <c r="U64" s="139" t="str">
        <f>IFERROR(VLOOKUP(LAN_OP[[#This Row],[OP/OS]],LANC_FAT!A:M,8,0),"-")</f>
        <v>-</v>
      </c>
      <c r="V64" s="10">
        <f>SUMIF(LANC_FAT[OP/OS],LAN_OP[[#This Row],[OP/OS]],LANC_FAT[VALOR DA NF COM IMPOSTO])</f>
        <v>0</v>
      </c>
      <c r="W64" s="3"/>
      <c r="X64" s="10">
        <f>SUMIF(LANC_COMPRA[OP/OS],LAN_OP[[#This Row],[OP/OS]],LANC_COMPRA[[VALOR ]])</f>
        <v>0</v>
      </c>
      <c r="Y64" s="10">
        <f>SUMIF(LANC_HORAS[OP/OS],LAN_OP[[#This Row],[OP/OS]],LANC_HORAS[TOTAL GERAL NORMAL])</f>
        <v>0</v>
      </c>
      <c r="Z64" s="10">
        <f>SUMIF(LANC_HORAS[OP/OS],LAN_OP[[#This Row],[OP/OS]],LANC_HORAS[TOTAL GERAL EXTRAS])</f>
        <v>0</v>
      </c>
      <c r="AA64" s="12">
        <f>SUMIF(LANC_HORAS[OP/OS],LAN_OP[[#This Row],[OP/OS]],LANC_HORAS[TOTAL H.N])</f>
        <v>0</v>
      </c>
      <c r="AB64" s="12">
        <f>SUMIF(LANC_HORAS[OP/OS],LAN_OP[[#This Row],[OP/OS]],LANC_HORAS[TOTAL H.E])</f>
        <v>0</v>
      </c>
      <c r="AC64" s="10">
        <f>SUMIF(LANC_DESPESAS[OS/OP],LAN_OP[[#This Row],[OP/OS]],LANC_DESPESAS[OBSERVAÇÕES])</f>
        <v>0</v>
      </c>
      <c r="AD64" s="3">
        <f>SUMIF(LANC_DESLOC[OS/OP],LAN_OP[[#This Row],[OP/OS]],LANC_DESLOC[ANO])</f>
        <v>0</v>
      </c>
      <c r="AE6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4" s="3">
        <f>LAN_OP[[#This Row],[TOTAL PARCIAL (M.O+MT+DESP)]]*1.08</f>
        <v>0</v>
      </c>
      <c r="AG64" s="3">
        <f>LAN_OP[[#This Row],[TOTAL PARCIAL + OUTROS CUSTOS (8%)]]*1.09</f>
        <v>0</v>
      </c>
      <c r="AH64" t="str">
        <f>IF(AND(U64&gt;=CALENDARIO!$B$2,U64&lt;=CALENDARIO!$C$2),"JANEIRO",IF(AND(U64&gt;=CALENDARIO!$B$3,U64&lt;=CALENDARIO!$C$3),"FEVEREIRO",IF(AND(U64&gt;=CALENDARIO!$B$4,U64&lt;=CALENDARIO!$C$4),"MARÇO",IF(AND(U64&gt;=CALENDARIO!$B$5,U64&lt;=CALENDARIO!$C$5),"ABRIL",IF(AND(U64&gt;=CALENDARIO!$B$6,U64&lt;=CALENDARIO!$C$6),"MAIO",IF(AND(U64&gt;=CALENDARIO!$B$7,U64&lt;=CALENDARIO!$C$7),"JUNHO",IF(AND(U64&gt;=CALENDARIO!$B$8,U64&lt;=CALENDARIO!$C$8),"JULHO",IF(AND(U64&gt;=CALENDARIO!$B$9,U64&lt;=CALENDARIO!$C$9),"AGOSTO",IF(AND(U64&gt;=CALENDARIO!$B$10,U64&lt;=CALENDARIO!$C$10),"SETEMBRO",IF(AND(U64&gt;=CALENDARIO!$B$11,U64&lt;=CALENDARIO!$C$11),"OUTUBRO",IF(AND(U64&gt;=CALENDARIO!$B$12,U64&lt;=CALENDARIO!$C$12),"NOVEMBRO",IF(AND(U64&gt;=CALENDARIO!$B$13,U64&lt;=CALENDARIO!$C$13),"DEZEMBRO","-"))))))))))))</f>
        <v>-</v>
      </c>
      <c r="AI64" s="3">
        <f>LAN_OP[[#This Row],[VALOR CONTRATO]]-LAN_OP[[#This Row],[TOTAL CUSTO (O.C + DI + MT + MO+DESP)]]</f>
        <v>0</v>
      </c>
      <c r="AJ64" s="11" t="str">
        <f>IFERROR(LAN_OP[[#This Row],[R$ (CONTRATO - CUSTOS)]]/LAN_OP[[#This Row],[VALOR CONTRATO]],"")</f>
        <v/>
      </c>
      <c r="AK64" s="3">
        <f>LAN_OP[[#This Row],[VALOR CONTRATO]]-LAN_OP[[#This Row],[VALOR FATURADO]]</f>
        <v>0</v>
      </c>
      <c r="AL64" s="3" t="str">
        <f>IF(AND(C64&gt;=CALENDARIO!$B$2,C64&lt;=CALENDARIO!$C$2),"JANEIRO",IF(AND(C64&gt;=CALENDARIO!$B$3,C64&lt;=CALENDARIO!$C$3),"FEVEREIRO",IF(AND(C64&gt;=CALENDARIO!$B$4,C64&lt;=CALENDARIO!$C$4),"MARÇO",IF(AND(C64&gt;=CALENDARIO!$B$5,C64&lt;=CALENDARIO!$C$5),"ABRIL",IF(AND(C64&gt;=CALENDARIO!$B$6,C64&lt;=CALENDARIO!$C$6),"MAIO",IF(AND(C64&gt;=CALENDARIO!$B$7,C64&lt;=CALENDARIO!$C$7),"JUNHO",IF(AND(C64&gt;=CALENDARIO!$B$8,C64&lt;=CALENDARIO!$C$8),"JULHO",IF(AND(C64&gt;=CALENDARIO!$B$9,C64&lt;=CALENDARIO!$C$9),"AGOSTO",IF(AND(C64&gt;=CALENDARIO!$B$10,C64&lt;=CALENDARIO!$C$10),"SETEMBRO",IF(AND(C64&gt;=CALENDARIO!$B$11,C64&lt;=CALENDARIO!$C$11),"OUTUBRO",IF(AND(C64&gt;=CALENDARIO!$B$12,C64&lt;=CALENDARIO!$C$12),"NOVEMBRO",IF(AND(C64&gt;=CALENDARIO!$B$13,C64&lt;=CALENDARIO!$C$13),"DEZEMBRO","-"))))))))))))</f>
        <v>-</v>
      </c>
      <c r="AM64" s="3" t="str">
        <f>RIGHT(LAN_OP[[#This Row],[OP/OS]],4)</f>
        <v/>
      </c>
    </row>
    <row r="65" spans="2:39" x14ac:dyDescent="0.3">
      <c r="B65" s="80"/>
      <c r="C65" s="140"/>
      <c r="G65"/>
      <c r="H65"/>
      <c r="I65" s="3"/>
      <c r="J65" s="3"/>
      <c r="K65" s="11" t="e">
        <f>LAN_OP[[#This Row],[VALOR FATURADO]]/LAN_OP[[#This Row],[VALOR CONTRATO]]</f>
        <v>#DIV/0!</v>
      </c>
      <c r="L65" s="4">
        <f>LAN_OP[[#This Row],[VALOR CONTRATO]]-LAN_OP[[#This Row],[VALOR FATURADO]]</f>
        <v>0</v>
      </c>
      <c r="M65" s="11" t="e">
        <v>#DIV/0!</v>
      </c>
      <c r="N65" s="138"/>
      <c r="O65" s="138"/>
      <c r="P65" s="11"/>
      <c r="Q65" s="141"/>
      <c r="R65" s="3"/>
      <c r="S65" s="4"/>
      <c r="T65" s="8" t="str">
        <f>IFERROR(VLOOKUP(LAN_OP[[#This Row],[OP/OS]],LANC_FAT!A:M,2,0),"-")</f>
        <v>-</v>
      </c>
      <c r="U65" s="139" t="str">
        <f>IFERROR(VLOOKUP(LAN_OP[[#This Row],[OP/OS]],LANC_FAT!A:M,8,0),"-")</f>
        <v>-</v>
      </c>
      <c r="V65" s="10">
        <f>SUMIF(LANC_FAT[OP/OS],LAN_OP[[#This Row],[OP/OS]],LANC_FAT[VALOR DA NF COM IMPOSTO])</f>
        <v>0</v>
      </c>
      <c r="W65" s="3"/>
      <c r="X65" s="10">
        <f>SUMIF(LANC_COMPRA[OP/OS],LAN_OP[[#This Row],[OP/OS]],LANC_COMPRA[[VALOR ]])</f>
        <v>0</v>
      </c>
      <c r="Y65" s="10">
        <f>SUMIF(LANC_HORAS[OP/OS],LAN_OP[[#This Row],[OP/OS]],LANC_HORAS[TOTAL GERAL NORMAL])</f>
        <v>0</v>
      </c>
      <c r="Z65" s="10">
        <f>SUMIF(LANC_HORAS[OP/OS],LAN_OP[[#This Row],[OP/OS]],LANC_HORAS[TOTAL GERAL EXTRAS])</f>
        <v>0</v>
      </c>
      <c r="AA65" s="12">
        <f>SUMIF(LANC_HORAS[OP/OS],LAN_OP[[#This Row],[OP/OS]],LANC_HORAS[TOTAL H.N])</f>
        <v>0</v>
      </c>
      <c r="AB65" s="12">
        <f>SUMIF(LANC_HORAS[OP/OS],LAN_OP[[#This Row],[OP/OS]],LANC_HORAS[TOTAL H.E])</f>
        <v>0</v>
      </c>
      <c r="AC65" s="10">
        <f>SUMIF(LANC_DESPESAS[OS/OP],LAN_OP[[#This Row],[OP/OS]],LANC_DESPESAS[OBSERVAÇÕES])</f>
        <v>0</v>
      </c>
      <c r="AD65" s="3">
        <f>SUMIF(LANC_DESLOC[OS/OP],LAN_OP[[#This Row],[OP/OS]],LANC_DESLOC[ANO])</f>
        <v>0</v>
      </c>
      <c r="AE6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5" s="3">
        <f>LAN_OP[[#This Row],[TOTAL PARCIAL (M.O+MT+DESP)]]*1.08</f>
        <v>0</v>
      </c>
      <c r="AG65" s="3">
        <f>LAN_OP[[#This Row],[TOTAL PARCIAL + OUTROS CUSTOS (8%)]]*1.09</f>
        <v>0</v>
      </c>
      <c r="AH65" t="str">
        <f>IF(AND(U65&gt;=CALENDARIO!$B$2,U65&lt;=CALENDARIO!$C$2),"JANEIRO",IF(AND(U65&gt;=CALENDARIO!$B$3,U65&lt;=CALENDARIO!$C$3),"FEVEREIRO",IF(AND(U65&gt;=CALENDARIO!$B$4,U65&lt;=CALENDARIO!$C$4),"MARÇO",IF(AND(U65&gt;=CALENDARIO!$B$5,U65&lt;=CALENDARIO!$C$5),"ABRIL",IF(AND(U65&gt;=CALENDARIO!$B$6,U65&lt;=CALENDARIO!$C$6),"MAIO",IF(AND(U65&gt;=CALENDARIO!$B$7,U65&lt;=CALENDARIO!$C$7),"JUNHO",IF(AND(U65&gt;=CALENDARIO!$B$8,U65&lt;=CALENDARIO!$C$8),"JULHO",IF(AND(U65&gt;=CALENDARIO!$B$9,U65&lt;=CALENDARIO!$C$9),"AGOSTO",IF(AND(U65&gt;=CALENDARIO!$B$10,U65&lt;=CALENDARIO!$C$10),"SETEMBRO",IF(AND(U65&gt;=CALENDARIO!$B$11,U65&lt;=CALENDARIO!$C$11),"OUTUBRO",IF(AND(U65&gt;=CALENDARIO!$B$12,U65&lt;=CALENDARIO!$C$12),"NOVEMBRO",IF(AND(U65&gt;=CALENDARIO!$B$13,U65&lt;=CALENDARIO!$C$13),"DEZEMBRO","-"))))))))))))</f>
        <v>-</v>
      </c>
      <c r="AI65" s="3">
        <f>LAN_OP[[#This Row],[VALOR CONTRATO]]-LAN_OP[[#This Row],[TOTAL CUSTO (O.C + DI + MT + MO+DESP)]]</f>
        <v>0</v>
      </c>
      <c r="AJ65" s="11" t="str">
        <f>IFERROR(LAN_OP[[#This Row],[R$ (CONTRATO - CUSTOS)]]/LAN_OP[[#This Row],[VALOR CONTRATO]],"")</f>
        <v/>
      </c>
      <c r="AK65" s="3">
        <f>LAN_OP[[#This Row],[VALOR CONTRATO]]-LAN_OP[[#This Row],[VALOR FATURADO]]</f>
        <v>0</v>
      </c>
      <c r="AL65" s="3" t="str">
        <f>IF(AND(C65&gt;=CALENDARIO!$B$2,C65&lt;=CALENDARIO!$C$2),"JANEIRO",IF(AND(C65&gt;=CALENDARIO!$B$3,C65&lt;=CALENDARIO!$C$3),"FEVEREIRO",IF(AND(C65&gt;=CALENDARIO!$B$4,C65&lt;=CALENDARIO!$C$4),"MARÇO",IF(AND(C65&gt;=CALENDARIO!$B$5,C65&lt;=CALENDARIO!$C$5),"ABRIL",IF(AND(C65&gt;=CALENDARIO!$B$6,C65&lt;=CALENDARIO!$C$6),"MAIO",IF(AND(C65&gt;=CALENDARIO!$B$7,C65&lt;=CALENDARIO!$C$7),"JUNHO",IF(AND(C65&gt;=CALENDARIO!$B$8,C65&lt;=CALENDARIO!$C$8),"JULHO",IF(AND(C65&gt;=CALENDARIO!$B$9,C65&lt;=CALENDARIO!$C$9),"AGOSTO",IF(AND(C65&gt;=CALENDARIO!$B$10,C65&lt;=CALENDARIO!$C$10),"SETEMBRO",IF(AND(C65&gt;=CALENDARIO!$B$11,C65&lt;=CALENDARIO!$C$11),"OUTUBRO",IF(AND(C65&gt;=CALENDARIO!$B$12,C65&lt;=CALENDARIO!$C$12),"NOVEMBRO",IF(AND(C65&gt;=CALENDARIO!$B$13,C65&lt;=CALENDARIO!$C$13),"DEZEMBRO","-"))))))))))))</f>
        <v>-</v>
      </c>
      <c r="AM65" s="3" t="str">
        <f>RIGHT(LAN_OP[[#This Row],[OP/OS]],4)</f>
        <v/>
      </c>
    </row>
    <row r="66" spans="2:39" x14ac:dyDescent="0.3">
      <c r="B66" s="80"/>
      <c r="C66" s="140"/>
      <c r="G66"/>
      <c r="H66"/>
      <c r="I66" s="3"/>
      <c r="J66" s="3"/>
      <c r="K66" s="11" t="e">
        <f>LAN_OP[[#This Row],[VALOR FATURADO]]/LAN_OP[[#This Row],[VALOR CONTRATO]]</f>
        <v>#DIV/0!</v>
      </c>
      <c r="L66" s="4">
        <f>LAN_OP[[#This Row],[VALOR CONTRATO]]-LAN_OP[[#This Row],[VALOR FATURADO]]</f>
        <v>0</v>
      </c>
      <c r="M66" s="11" t="e">
        <v>#DIV/0!</v>
      </c>
      <c r="N66" s="138"/>
      <c r="O66" s="138"/>
      <c r="P66" s="11"/>
      <c r="Q66" s="141"/>
      <c r="R66" s="3"/>
      <c r="S66" s="4"/>
      <c r="T66" s="8" t="str">
        <f>IFERROR(VLOOKUP(LAN_OP[[#This Row],[OP/OS]],LANC_FAT!A:M,2,0),"-")</f>
        <v>-</v>
      </c>
      <c r="U66" s="139" t="str">
        <f>IFERROR(VLOOKUP(LAN_OP[[#This Row],[OP/OS]],LANC_FAT!A:M,8,0),"-")</f>
        <v>-</v>
      </c>
      <c r="V66" s="10">
        <f>SUMIF(LANC_FAT[OP/OS],LAN_OP[[#This Row],[OP/OS]],LANC_FAT[VALOR DA NF COM IMPOSTO])</f>
        <v>0</v>
      </c>
      <c r="W66" s="3"/>
      <c r="X66" s="10">
        <f>SUMIF(LANC_COMPRA[OP/OS],LAN_OP[[#This Row],[OP/OS]],LANC_COMPRA[[VALOR ]])</f>
        <v>0</v>
      </c>
      <c r="Y66" s="10">
        <f>SUMIF(LANC_HORAS[OP/OS],LAN_OP[[#This Row],[OP/OS]],LANC_HORAS[TOTAL GERAL NORMAL])</f>
        <v>0</v>
      </c>
      <c r="Z66" s="10">
        <f>SUMIF(LANC_HORAS[OP/OS],LAN_OP[[#This Row],[OP/OS]],LANC_HORAS[TOTAL GERAL EXTRAS])</f>
        <v>0</v>
      </c>
      <c r="AA66" s="12">
        <f>SUMIF(LANC_HORAS[OP/OS],LAN_OP[[#This Row],[OP/OS]],LANC_HORAS[TOTAL H.N])</f>
        <v>0</v>
      </c>
      <c r="AB66" s="12">
        <f>SUMIF(LANC_HORAS[OP/OS],LAN_OP[[#This Row],[OP/OS]],LANC_HORAS[TOTAL H.E])</f>
        <v>0</v>
      </c>
      <c r="AC66" s="10">
        <f>SUMIF(LANC_DESPESAS[OS/OP],LAN_OP[[#This Row],[OP/OS]],LANC_DESPESAS[OBSERVAÇÕES])</f>
        <v>0</v>
      </c>
      <c r="AD66" s="3">
        <f>SUMIF(LANC_DESLOC[OS/OP],LAN_OP[[#This Row],[OP/OS]],LANC_DESLOC[ANO])</f>
        <v>0</v>
      </c>
      <c r="AE6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6" s="3">
        <f>LAN_OP[[#This Row],[TOTAL PARCIAL (M.O+MT+DESP)]]*1.08</f>
        <v>0</v>
      </c>
      <c r="AG66" s="3">
        <f>LAN_OP[[#This Row],[TOTAL PARCIAL + OUTROS CUSTOS (8%)]]*1.09</f>
        <v>0</v>
      </c>
      <c r="AH66" t="str">
        <f>IF(AND(U66&gt;=CALENDARIO!$B$2,U66&lt;=CALENDARIO!$C$2),"JANEIRO",IF(AND(U66&gt;=CALENDARIO!$B$3,U66&lt;=CALENDARIO!$C$3),"FEVEREIRO",IF(AND(U66&gt;=CALENDARIO!$B$4,U66&lt;=CALENDARIO!$C$4),"MARÇO",IF(AND(U66&gt;=CALENDARIO!$B$5,U66&lt;=CALENDARIO!$C$5),"ABRIL",IF(AND(U66&gt;=CALENDARIO!$B$6,U66&lt;=CALENDARIO!$C$6),"MAIO",IF(AND(U66&gt;=CALENDARIO!$B$7,U66&lt;=CALENDARIO!$C$7),"JUNHO",IF(AND(U66&gt;=CALENDARIO!$B$8,U66&lt;=CALENDARIO!$C$8),"JULHO",IF(AND(U66&gt;=CALENDARIO!$B$9,U66&lt;=CALENDARIO!$C$9),"AGOSTO",IF(AND(U66&gt;=CALENDARIO!$B$10,U66&lt;=CALENDARIO!$C$10),"SETEMBRO",IF(AND(U66&gt;=CALENDARIO!$B$11,U66&lt;=CALENDARIO!$C$11),"OUTUBRO",IF(AND(U66&gt;=CALENDARIO!$B$12,U66&lt;=CALENDARIO!$C$12),"NOVEMBRO",IF(AND(U66&gt;=CALENDARIO!$B$13,U66&lt;=CALENDARIO!$C$13),"DEZEMBRO","-"))))))))))))</f>
        <v>-</v>
      </c>
      <c r="AI66" s="3">
        <f>LAN_OP[[#This Row],[VALOR CONTRATO]]-LAN_OP[[#This Row],[TOTAL CUSTO (O.C + DI + MT + MO+DESP)]]</f>
        <v>0</v>
      </c>
      <c r="AJ66" s="11" t="str">
        <f>IFERROR(LAN_OP[[#This Row],[R$ (CONTRATO - CUSTOS)]]/LAN_OP[[#This Row],[VALOR CONTRATO]],"")</f>
        <v/>
      </c>
      <c r="AK66" s="3">
        <f>LAN_OP[[#This Row],[VALOR CONTRATO]]-LAN_OP[[#This Row],[VALOR FATURADO]]</f>
        <v>0</v>
      </c>
      <c r="AL66" s="3" t="str">
        <f>IF(AND(C66&gt;=CALENDARIO!$B$2,C66&lt;=CALENDARIO!$C$2),"JANEIRO",IF(AND(C66&gt;=CALENDARIO!$B$3,C66&lt;=CALENDARIO!$C$3),"FEVEREIRO",IF(AND(C66&gt;=CALENDARIO!$B$4,C66&lt;=CALENDARIO!$C$4),"MARÇO",IF(AND(C66&gt;=CALENDARIO!$B$5,C66&lt;=CALENDARIO!$C$5),"ABRIL",IF(AND(C66&gt;=CALENDARIO!$B$6,C66&lt;=CALENDARIO!$C$6),"MAIO",IF(AND(C66&gt;=CALENDARIO!$B$7,C66&lt;=CALENDARIO!$C$7),"JUNHO",IF(AND(C66&gt;=CALENDARIO!$B$8,C66&lt;=CALENDARIO!$C$8),"JULHO",IF(AND(C66&gt;=CALENDARIO!$B$9,C66&lt;=CALENDARIO!$C$9),"AGOSTO",IF(AND(C66&gt;=CALENDARIO!$B$10,C66&lt;=CALENDARIO!$C$10),"SETEMBRO",IF(AND(C66&gt;=CALENDARIO!$B$11,C66&lt;=CALENDARIO!$C$11),"OUTUBRO",IF(AND(C66&gt;=CALENDARIO!$B$12,C66&lt;=CALENDARIO!$C$12),"NOVEMBRO",IF(AND(C66&gt;=CALENDARIO!$B$13,C66&lt;=CALENDARIO!$C$13),"DEZEMBRO","-"))))))))))))</f>
        <v>-</v>
      </c>
      <c r="AM66" s="3" t="str">
        <f>RIGHT(LAN_OP[[#This Row],[OP/OS]],4)</f>
        <v/>
      </c>
    </row>
    <row r="67" spans="2:39" x14ac:dyDescent="0.3">
      <c r="B67" s="80"/>
      <c r="C67" s="140"/>
      <c r="G67"/>
      <c r="H67"/>
      <c r="I67" s="3"/>
      <c r="J67" s="3"/>
      <c r="K67" s="11" t="e">
        <f>LAN_OP[[#This Row],[VALOR FATURADO]]/LAN_OP[[#This Row],[VALOR CONTRATO]]</f>
        <v>#DIV/0!</v>
      </c>
      <c r="L67" s="4">
        <f>LAN_OP[[#This Row],[VALOR CONTRATO]]-LAN_OP[[#This Row],[VALOR FATURADO]]</f>
        <v>0</v>
      </c>
      <c r="M67" s="11" t="e">
        <v>#DIV/0!</v>
      </c>
      <c r="N67" s="138"/>
      <c r="O67" s="138"/>
      <c r="P67" s="11"/>
      <c r="Q67" s="141"/>
      <c r="R67" s="3"/>
      <c r="S67" s="4"/>
      <c r="T67" s="8" t="str">
        <f>IFERROR(VLOOKUP(LAN_OP[[#This Row],[OP/OS]],LANC_FAT!A:M,2,0),"-")</f>
        <v>-</v>
      </c>
      <c r="U67" s="139" t="str">
        <f>IFERROR(VLOOKUP(LAN_OP[[#This Row],[OP/OS]],LANC_FAT!A:M,8,0),"-")</f>
        <v>-</v>
      </c>
      <c r="V67" s="10">
        <f>SUMIF(LANC_FAT[OP/OS],LAN_OP[[#This Row],[OP/OS]],LANC_FAT[VALOR DA NF COM IMPOSTO])</f>
        <v>0</v>
      </c>
      <c r="W67" s="3"/>
      <c r="X67" s="10">
        <f>SUMIF(LANC_COMPRA[OP/OS],LAN_OP[[#This Row],[OP/OS]],LANC_COMPRA[[VALOR ]])</f>
        <v>0</v>
      </c>
      <c r="Y67" s="10">
        <f>SUMIF(LANC_HORAS[OP/OS],LAN_OP[[#This Row],[OP/OS]],LANC_HORAS[TOTAL GERAL NORMAL])</f>
        <v>0</v>
      </c>
      <c r="Z67" s="10">
        <f>SUMIF(LANC_HORAS[OP/OS],LAN_OP[[#This Row],[OP/OS]],LANC_HORAS[TOTAL GERAL EXTRAS])</f>
        <v>0</v>
      </c>
      <c r="AA67" s="12">
        <f>SUMIF(LANC_HORAS[OP/OS],LAN_OP[[#This Row],[OP/OS]],LANC_HORAS[TOTAL H.N])</f>
        <v>0</v>
      </c>
      <c r="AB67" s="12">
        <f>SUMIF(LANC_HORAS[OP/OS],LAN_OP[[#This Row],[OP/OS]],LANC_HORAS[TOTAL H.E])</f>
        <v>0</v>
      </c>
      <c r="AC67" s="10">
        <f>SUMIF(LANC_DESPESAS[OS/OP],LAN_OP[[#This Row],[OP/OS]],LANC_DESPESAS[OBSERVAÇÕES])</f>
        <v>0</v>
      </c>
      <c r="AD67" s="3">
        <f>SUMIF(LANC_DESLOC[OS/OP],LAN_OP[[#This Row],[OP/OS]],LANC_DESLOC[ANO])</f>
        <v>0</v>
      </c>
      <c r="AE6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7" s="3">
        <f>LAN_OP[[#This Row],[TOTAL PARCIAL (M.O+MT+DESP)]]*1.08</f>
        <v>0</v>
      </c>
      <c r="AG67" s="3">
        <f>LAN_OP[[#This Row],[TOTAL PARCIAL + OUTROS CUSTOS (8%)]]*1.09</f>
        <v>0</v>
      </c>
      <c r="AH67" t="str">
        <f>IF(AND(U67&gt;=CALENDARIO!$B$2,U67&lt;=CALENDARIO!$C$2),"JANEIRO",IF(AND(U67&gt;=CALENDARIO!$B$3,U67&lt;=CALENDARIO!$C$3),"FEVEREIRO",IF(AND(U67&gt;=CALENDARIO!$B$4,U67&lt;=CALENDARIO!$C$4),"MARÇO",IF(AND(U67&gt;=CALENDARIO!$B$5,U67&lt;=CALENDARIO!$C$5),"ABRIL",IF(AND(U67&gt;=CALENDARIO!$B$6,U67&lt;=CALENDARIO!$C$6),"MAIO",IF(AND(U67&gt;=CALENDARIO!$B$7,U67&lt;=CALENDARIO!$C$7),"JUNHO",IF(AND(U67&gt;=CALENDARIO!$B$8,U67&lt;=CALENDARIO!$C$8),"JULHO",IF(AND(U67&gt;=CALENDARIO!$B$9,U67&lt;=CALENDARIO!$C$9),"AGOSTO",IF(AND(U67&gt;=CALENDARIO!$B$10,U67&lt;=CALENDARIO!$C$10),"SETEMBRO",IF(AND(U67&gt;=CALENDARIO!$B$11,U67&lt;=CALENDARIO!$C$11),"OUTUBRO",IF(AND(U67&gt;=CALENDARIO!$B$12,U67&lt;=CALENDARIO!$C$12),"NOVEMBRO",IF(AND(U67&gt;=CALENDARIO!$B$13,U67&lt;=CALENDARIO!$C$13),"DEZEMBRO","-"))))))))))))</f>
        <v>-</v>
      </c>
      <c r="AI67" s="3">
        <f>LAN_OP[[#This Row],[VALOR CONTRATO]]-LAN_OP[[#This Row],[TOTAL CUSTO (O.C + DI + MT + MO+DESP)]]</f>
        <v>0</v>
      </c>
      <c r="AJ67" s="11" t="str">
        <f>IFERROR(LAN_OP[[#This Row],[R$ (CONTRATO - CUSTOS)]]/LAN_OP[[#This Row],[VALOR CONTRATO]],"")</f>
        <v/>
      </c>
      <c r="AK67" s="3">
        <f>LAN_OP[[#This Row],[VALOR CONTRATO]]-LAN_OP[[#This Row],[VALOR FATURADO]]</f>
        <v>0</v>
      </c>
      <c r="AL67" s="3" t="str">
        <f>IF(AND(C67&gt;=CALENDARIO!$B$2,C67&lt;=CALENDARIO!$C$2),"JANEIRO",IF(AND(C67&gt;=CALENDARIO!$B$3,C67&lt;=CALENDARIO!$C$3),"FEVEREIRO",IF(AND(C67&gt;=CALENDARIO!$B$4,C67&lt;=CALENDARIO!$C$4),"MARÇO",IF(AND(C67&gt;=CALENDARIO!$B$5,C67&lt;=CALENDARIO!$C$5),"ABRIL",IF(AND(C67&gt;=CALENDARIO!$B$6,C67&lt;=CALENDARIO!$C$6),"MAIO",IF(AND(C67&gt;=CALENDARIO!$B$7,C67&lt;=CALENDARIO!$C$7),"JUNHO",IF(AND(C67&gt;=CALENDARIO!$B$8,C67&lt;=CALENDARIO!$C$8),"JULHO",IF(AND(C67&gt;=CALENDARIO!$B$9,C67&lt;=CALENDARIO!$C$9),"AGOSTO",IF(AND(C67&gt;=CALENDARIO!$B$10,C67&lt;=CALENDARIO!$C$10),"SETEMBRO",IF(AND(C67&gt;=CALENDARIO!$B$11,C67&lt;=CALENDARIO!$C$11),"OUTUBRO",IF(AND(C67&gt;=CALENDARIO!$B$12,C67&lt;=CALENDARIO!$C$12),"NOVEMBRO",IF(AND(C67&gt;=CALENDARIO!$B$13,C67&lt;=CALENDARIO!$C$13),"DEZEMBRO","-"))))))))))))</f>
        <v>-</v>
      </c>
      <c r="AM67" s="3" t="str">
        <f>RIGHT(LAN_OP[[#This Row],[OP/OS]],4)</f>
        <v/>
      </c>
    </row>
    <row r="68" spans="2:39" x14ac:dyDescent="0.3">
      <c r="B68" s="80"/>
      <c r="C68" s="140"/>
      <c r="G68"/>
      <c r="H68"/>
      <c r="I68" s="3"/>
      <c r="J68" s="3"/>
      <c r="K68" s="11" t="e">
        <f>LAN_OP[[#This Row],[VALOR FATURADO]]/LAN_OP[[#This Row],[VALOR CONTRATO]]</f>
        <v>#DIV/0!</v>
      </c>
      <c r="L68" s="4">
        <f>LAN_OP[[#This Row],[VALOR CONTRATO]]-LAN_OP[[#This Row],[VALOR FATURADO]]</f>
        <v>0</v>
      </c>
      <c r="M68" s="11" t="e">
        <v>#DIV/0!</v>
      </c>
      <c r="N68" s="138"/>
      <c r="O68" s="138"/>
      <c r="P68" s="11"/>
      <c r="Q68" s="141"/>
      <c r="R68" s="3"/>
      <c r="S68" s="4"/>
      <c r="T68" s="8" t="str">
        <f>IFERROR(VLOOKUP(LAN_OP[[#This Row],[OP/OS]],LANC_FAT!A:M,2,0),"-")</f>
        <v>-</v>
      </c>
      <c r="U68" s="139" t="str">
        <f>IFERROR(VLOOKUP(LAN_OP[[#This Row],[OP/OS]],LANC_FAT!A:M,8,0),"-")</f>
        <v>-</v>
      </c>
      <c r="V68" s="10">
        <f>SUMIF(LANC_FAT[OP/OS],LAN_OP[[#This Row],[OP/OS]],LANC_FAT[VALOR DA NF COM IMPOSTO])</f>
        <v>0</v>
      </c>
      <c r="W68" s="3"/>
      <c r="X68" s="10">
        <f>SUMIF(LANC_COMPRA[OP/OS],LAN_OP[[#This Row],[OP/OS]],LANC_COMPRA[[VALOR ]])</f>
        <v>0</v>
      </c>
      <c r="Y68" s="10">
        <f>SUMIF(LANC_HORAS[OP/OS],LAN_OP[[#This Row],[OP/OS]],LANC_HORAS[TOTAL GERAL NORMAL])</f>
        <v>0</v>
      </c>
      <c r="Z68" s="10">
        <f>SUMIF(LANC_HORAS[OP/OS],LAN_OP[[#This Row],[OP/OS]],LANC_HORAS[TOTAL GERAL EXTRAS])</f>
        <v>0</v>
      </c>
      <c r="AA68" s="12">
        <f>SUMIF(LANC_HORAS[OP/OS],LAN_OP[[#This Row],[OP/OS]],LANC_HORAS[TOTAL H.N])</f>
        <v>0</v>
      </c>
      <c r="AB68" s="12">
        <f>SUMIF(LANC_HORAS[OP/OS],LAN_OP[[#This Row],[OP/OS]],LANC_HORAS[TOTAL H.E])</f>
        <v>0</v>
      </c>
      <c r="AC68" s="10">
        <f>SUMIF(LANC_DESPESAS[OS/OP],LAN_OP[[#This Row],[OP/OS]],LANC_DESPESAS[OBSERVAÇÕES])</f>
        <v>0</v>
      </c>
      <c r="AD68" s="3">
        <f>SUMIF(LANC_DESLOC[OS/OP],LAN_OP[[#This Row],[OP/OS]],LANC_DESLOC[ANO])</f>
        <v>0</v>
      </c>
      <c r="AE6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8" s="3">
        <f>LAN_OP[[#This Row],[TOTAL PARCIAL (M.O+MT+DESP)]]*1.08</f>
        <v>0</v>
      </c>
      <c r="AG68" s="3">
        <f>LAN_OP[[#This Row],[TOTAL PARCIAL + OUTROS CUSTOS (8%)]]*1.09</f>
        <v>0</v>
      </c>
      <c r="AH68" t="str">
        <f>IF(AND(U68&gt;=CALENDARIO!$B$2,U68&lt;=CALENDARIO!$C$2),"JANEIRO",IF(AND(U68&gt;=CALENDARIO!$B$3,U68&lt;=CALENDARIO!$C$3),"FEVEREIRO",IF(AND(U68&gt;=CALENDARIO!$B$4,U68&lt;=CALENDARIO!$C$4),"MARÇO",IF(AND(U68&gt;=CALENDARIO!$B$5,U68&lt;=CALENDARIO!$C$5),"ABRIL",IF(AND(U68&gt;=CALENDARIO!$B$6,U68&lt;=CALENDARIO!$C$6),"MAIO",IF(AND(U68&gt;=CALENDARIO!$B$7,U68&lt;=CALENDARIO!$C$7),"JUNHO",IF(AND(U68&gt;=CALENDARIO!$B$8,U68&lt;=CALENDARIO!$C$8),"JULHO",IF(AND(U68&gt;=CALENDARIO!$B$9,U68&lt;=CALENDARIO!$C$9),"AGOSTO",IF(AND(U68&gt;=CALENDARIO!$B$10,U68&lt;=CALENDARIO!$C$10),"SETEMBRO",IF(AND(U68&gt;=CALENDARIO!$B$11,U68&lt;=CALENDARIO!$C$11),"OUTUBRO",IF(AND(U68&gt;=CALENDARIO!$B$12,U68&lt;=CALENDARIO!$C$12),"NOVEMBRO",IF(AND(U68&gt;=CALENDARIO!$B$13,U68&lt;=CALENDARIO!$C$13),"DEZEMBRO","-"))))))))))))</f>
        <v>-</v>
      </c>
      <c r="AI68" s="3">
        <f>LAN_OP[[#This Row],[VALOR CONTRATO]]-LAN_OP[[#This Row],[TOTAL CUSTO (O.C + DI + MT + MO+DESP)]]</f>
        <v>0</v>
      </c>
      <c r="AJ68" s="11" t="str">
        <f>IFERROR(LAN_OP[[#This Row],[R$ (CONTRATO - CUSTOS)]]/LAN_OP[[#This Row],[VALOR CONTRATO]],"")</f>
        <v/>
      </c>
      <c r="AK68" s="3">
        <f>LAN_OP[[#This Row],[VALOR CONTRATO]]-LAN_OP[[#This Row],[VALOR FATURADO]]</f>
        <v>0</v>
      </c>
      <c r="AL68" s="3" t="str">
        <f>IF(AND(C68&gt;=CALENDARIO!$B$2,C68&lt;=CALENDARIO!$C$2),"JANEIRO",IF(AND(C68&gt;=CALENDARIO!$B$3,C68&lt;=CALENDARIO!$C$3),"FEVEREIRO",IF(AND(C68&gt;=CALENDARIO!$B$4,C68&lt;=CALENDARIO!$C$4),"MARÇO",IF(AND(C68&gt;=CALENDARIO!$B$5,C68&lt;=CALENDARIO!$C$5),"ABRIL",IF(AND(C68&gt;=CALENDARIO!$B$6,C68&lt;=CALENDARIO!$C$6),"MAIO",IF(AND(C68&gt;=CALENDARIO!$B$7,C68&lt;=CALENDARIO!$C$7),"JUNHO",IF(AND(C68&gt;=CALENDARIO!$B$8,C68&lt;=CALENDARIO!$C$8),"JULHO",IF(AND(C68&gt;=CALENDARIO!$B$9,C68&lt;=CALENDARIO!$C$9),"AGOSTO",IF(AND(C68&gt;=CALENDARIO!$B$10,C68&lt;=CALENDARIO!$C$10),"SETEMBRO",IF(AND(C68&gt;=CALENDARIO!$B$11,C68&lt;=CALENDARIO!$C$11),"OUTUBRO",IF(AND(C68&gt;=CALENDARIO!$B$12,C68&lt;=CALENDARIO!$C$12),"NOVEMBRO",IF(AND(C68&gt;=CALENDARIO!$B$13,C68&lt;=CALENDARIO!$C$13),"DEZEMBRO","-"))))))))))))</f>
        <v>-</v>
      </c>
      <c r="AM68" s="3" t="str">
        <f>RIGHT(LAN_OP[[#This Row],[OP/OS]],4)</f>
        <v/>
      </c>
    </row>
    <row r="69" spans="2:39" x14ac:dyDescent="0.3">
      <c r="B69" s="80"/>
      <c r="C69" s="140"/>
      <c r="G69"/>
      <c r="H69"/>
      <c r="I69" s="3"/>
      <c r="J69" s="3"/>
      <c r="K69" s="11" t="e">
        <f>LAN_OP[[#This Row],[VALOR FATURADO]]/LAN_OP[[#This Row],[VALOR CONTRATO]]</f>
        <v>#DIV/0!</v>
      </c>
      <c r="L69" s="4">
        <f>LAN_OP[[#This Row],[VALOR CONTRATO]]-LAN_OP[[#This Row],[VALOR FATURADO]]</f>
        <v>0</v>
      </c>
      <c r="M69" s="11" t="e">
        <v>#DIV/0!</v>
      </c>
      <c r="N69" s="138"/>
      <c r="O69" s="138"/>
      <c r="P69" s="11"/>
      <c r="Q69" s="141"/>
      <c r="R69" s="3"/>
      <c r="S69" s="4"/>
      <c r="T69" s="8" t="str">
        <f>IFERROR(VLOOKUP(LAN_OP[[#This Row],[OP/OS]],LANC_FAT!A:M,2,0),"-")</f>
        <v>-</v>
      </c>
      <c r="U69" s="139" t="str">
        <f>IFERROR(VLOOKUP(LAN_OP[[#This Row],[OP/OS]],LANC_FAT!A:M,8,0),"-")</f>
        <v>-</v>
      </c>
      <c r="V69" s="10">
        <f>SUMIF(LANC_FAT[OP/OS],LAN_OP[[#This Row],[OP/OS]],LANC_FAT[VALOR DA NF COM IMPOSTO])</f>
        <v>0</v>
      </c>
      <c r="W69" s="3"/>
      <c r="X69" s="10">
        <f>SUMIF(LANC_COMPRA[OP/OS],LAN_OP[[#This Row],[OP/OS]],LANC_COMPRA[[VALOR ]])</f>
        <v>0</v>
      </c>
      <c r="Y69" s="10">
        <f>SUMIF(LANC_HORAS[OP/OS],LAN_OP[[#This Row],[OP/OS]],LANC_HORAS[TOTAL GERAL NORMAL])</f>
        <v>0</v>
      </c>
      <c r="Z69" s="10">
        <f>SUMIF(LANC_HORAS[OP/OS],LAN_OP[[#This Row],[OP/OS]],LANC_HORAS[TOTAL GERAL EXTRAS])</f>
        <v>0</v>
      </c>
      <c r="AA69" s="12">
        <f>SUMIF(LANC_HORAS[OP/OS],LAN_OP[[#This Row],[OP/OS]],LANC_HORAS[TOTAL H.N])</f>
        <v>0</v>
      </c>
      <c r="AB69" s="12">
        <f>SUMIF(LANC_HORAS[OP/OS],LAN_OP[[#This Row],[OP/OS]],LANC_HORAS[TOTAL H.E])</f>
        <v>0</v>
      </c>
      <c r="AC69" s="10">
        <f>SUMIF(LANC_DESPESAS[OS/OP],LAN_OP[[#This Row],[OP/OS]],LANC_DESPESAS[OBSERVAÇÕES])</f>
        <v>0</v>
      </c>
      <c r="AD69" s="3">
        <f>SUMIF(LANC_DESLOC[OS/OP],LAN_OP[[#This Row],[OP/OS]],LANC_DESLOC[ANO])</f>
        <v>0</v>
      </c>
      <c r="AE6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69" s="3">
        <f>LAN_OP[[#This Row],[TOTAL PARCIAL (M.O+MT+DESP)]]*1.08</f>
        <v>0</v>
      </c>
      <c r="AG69" s="3">
        <f>LAN_OP[[#This Row],[TOTAL PARCIAL + OUTROS CUSTOS (8%)]]*1.09</f>
        <v>0</v>
      </c>
      <c r="AH69" t="str">
        <f>IF(AND(U69&gt;=CALENDARIO!$B$2,U69&lt;=CALENDARIO!$C$2),"JANEIRO",IF(AND(U69&gt;=CALENDARIO!$B$3,U69&lt;=CALENDARIO!$C$3),"FEVEREIRO",IF(AND(U69&gt;=CALENDARIO!$B$4,U69&lt;=CALENDARIO!$C$4),"MARÇO",IF(AND(U69&gt;=CALENDARIO!$B$5,U69&lt;=CALENDARIO!$C$5),"ABRIL",IF(AND(U69&gt;=CALENDARIO!$B$6,U69&lt;=CALENDARIO!$C$6),"MAIO",IF(AND(U69&gt;=CALENDARIO!$B$7,U69&lt;=CALENDARIO!$C$7),"JUNHO",IF(AND(U69&gt;=CALENDARIO!$B$8,U69&lt;=CALENDARIO!$C$8),"JULHO",IF(AND(U69&gt;=CALENDARIO!$B$9,U69&lt;=CALENDARIO!$C$9),"AGOSTO",IF(AND(U69&gt;=CALENDARIO!$B$10,U69&lt;=CALENDARIO!$C$10),"SETEMBRO",IF(AND(U69&gt;=CALENDARIO!$B$11,U69&lt;=CALENDARIO!$C$11),"OUTUBRO",IF(AND(U69&gt;=CALENDARIO!$B$12,U69&lt;=CALENDARIO!$C$12),"NOVEMBRO",IF(AND(U69&gt;=CALENDARIO!$B$13,U69&lt;=CALENDARIO!$C$13),"DEZEMBRO","-"))))))))))))</f>
        <v>-</v>
      </c>
      <c r="AI69" s="3">
        <f>LAN_OP[[#This Row],[VALOR CONTRATO]]-LAN_OP[[#This Row],[TOTAL CUSTO (O.C + DI + MT + MO+DESP)]]</f>
        <v>0</v>
      </c>
      <c r="AJ69" s="11" t="str">
        <f>IFERROR(LAN_OP[[#This Row],[R$ (CONTRATO - CUSTOS)]]/LAN_OP[[#This Row],[VALOR CONTRATO]],"")</f>
        <v/>
      </c>
      <c r="AK69" s="3">
        <f>LAN_OP[[#This Row],[VALOR CONTRATO]]-LAN_OP[[#This Row],[VALOR FATURADO]]</f>
        <v>0</v>
      </c>
      <c r="AL69" s="3" t="str">
        <f>IF(AND(C69&gt;=CALENDARIO!$B$2,C69&lt;=CALENDARIO!$C$2),"JANEIRO",IF(AND(C69&gt;=CALENDARIO!$B$3,C69&lt;=CALENDARIO!$C$3),"FEVEREIRO",IF(AND(C69&gt;=CALENDARIO!$B$4,C69&lt;=CALENDARIO!$C$4),"MARÇO",IF(AND(C69&gt;=CALENDARIO!$B$5,C69&lt;=CALENDARIO!$C$5),"ABRIL",IF(AND(C69&gt;=CALENDARIO!$B$6,C69&lt;=CALENDARIO!$C$6),"MAIO",IF(AND(C69&gt;=CALENDARIO!$B$7,C69&lt;=CALENDARIO!$C$7),"JUNHO",IF(AND(C69&gt;=CALENDARIO!$B$8,C69&lt;=CALENDARIO!$C$8),"JULHO",IF(AND(C69&gt;=CALENDARIO!$B$9,C69&lt;=CALENDARIO!$C$9),"AGOSTO",IF(AND(C69&gt;=CALENDARIO!$B$10,C69&lt;=CALENDARIO!$C$10),"SETEMBRO",IF(AND(C69&gt;=CALENDARIO!$B$11,C69&lt;=CALENDARIO!$C$11),"OUTUBRO",IF(AND(C69&gt;=CALENDARIO!$B$12,C69&lt;=CALENDARIO!$C$12),"NOVEMBRO",IF(AND(C69&gt;=CALENDARIO!$B$13,C69&lt;=CALENDARIO!$C$13),"DEZEMBRO","-"))))))))))))</f>
        <v>-</v>
      </c>
      <c r="AM69" s="3" t="str">
        <f>RIGHT(LAN_OP[[#This Row],[OP/OS]],4)</f>
        <v/>
      </c>
    </row>
    <row r="70" spans="2:39" x14ac:dyDescent="0.3">
      <c r="B70" s="80"/>
      <c r="C70" s="140"/>
      <c r="G70"/>
      <c r="H70"/>
      <c r="I70" s="3"/>
      <c r="J70" s="3"/>
      <c r="K70" s="11" t="e">
        <f>LAN_OP[[#This Row],[VALOR FATURADO]]/LAN_OP[[#This Row],[VALOR CONTRATO]]</f>
        <v>#DIV/0!</v>
      </c>
      <c r="L70" s="4">
        <f>LAN_OP[[#This Row],[VALOR CONTRATO]]-LAN_OP[[#This Row],[VALOR FATURADO]]</f>
        <v>0</v>
      </c>
      <c r="M70" s="11" t="e">
        <v>#DIV/0!</v>
      </c>
      <c r="N70" s="138"/>
      <c r="O70" s="138"/>
      <c r="P70" s="11"/>
      <c r="Q70" s="141"/>
      <c r="R70" s="3"/>
      <c r="S70" s="4"/>
      <c r="T70" s="8" t="str">
        <f>IFERROR(VLOOKUP(LAN_OP[[#This Row],[OP/OS]],LANC_FAT!A:M,2,0),"-")</f>
        <v>-</v>
      </c>
      <c r="U70" s="139" t="str">
        <f>IFERROR(VLOOKUP(LAN_OP[[#This Row],[OP/OS]],LANC_FAT!A:M,8,0),"-")</f>
        <v>-</v>
      </c>
      <c r="V70" s="10">
        <f>SUMIF(LANC_FAT[OP/OS],LAN_OP[[#This Row],[OP/OS]],LANC_FAT[VALOR DA NF COM IMPOSTO])</f>
        <v>0</v>
      </c>
      <c r="W70" s="3"/>
      <c r="X70" s="10">
        <f>SUMIF(LANC_COMPRA[OP/OS],LAN_OP[[#This Row],[OP/OS]],LANC_COMPRA[[VALOR ]])</f>
        <v>0</v>
      </c>
      <c r="Y70" s="10">
        <f>SUMIF(LANC_HORAS[OP/OS],LAN_OP[[#This Row],[OP/OS]],LANC_HORAS[TOTAL GERAL NORMAL])</f>
        <v>0</v>
      </c>
      <c r="Z70" s="10">
        <f>SUMIF(LANC_HORAS[OP/OS],LAN_OP[[#This Row],[OP/OS]],LANC_HORAS[TOTAL GERAL EXTRAS])</f>
        <v>0</v>
      </c>
      <c r="AA70" s="12">
        <f>SUMIF(LANC_HORAS[OP/OS],LAN_OP[[#This Row],[OP/OS]],LANC_HORAS[TOTAL H.N])</f>
        <v>0</v>
      </c>
      <c r="AB70" s="12">
        <f>SUMIF(LANC_HORAS[OP/OS],LAN_OP[[#This Row],[OP/OS]],LANC_HORAS[TOTAL H.E])</f>
        <v>0</v>
      </c>
      <c r="AC70" s="10">
        <f>SUMIF(LANC_DESPESAS[OS/OP],LAN_OP[[#This Row],[OP/OS]],LANC_DESPESAS[OBSERVAÇÕES])</f>
        <v>0</v>
      </c>
      <c r="AD70" s="3">
        <f>SUMIF(LANC_DESLOC[OS/OP],LAN_OP[[#This Row],[OP/OS]],LANC_DESLOC[ANO])</f>
        <v>0</v>
      </c>
      <c r="AE7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0" s="3">
        <f>LAN_OP[[#This Row],[TOTAL PARCIAL (M.O+MT+DESP)]]*1.08</f>
        <v>0</v>
      </c>
      <c r="AG70" s="3">
        <f>LAN_OP[[#This Row],[TOTAL PARCIAL + OUTROS CUSTOS (8%)]]*1.09</f>
        <v>0</v>
      </c>
      <c r="AH70" t="str">
        <f>IF(AND(U70&gt;=CALENDARIO!$B$2,U70&lt;=CALENDARIO!$C$2),"JANEIRO",IF(AND(U70&gt;=CALENDARIO!$B$3,U70&lt;=CALENDARIO!$C$3),"FEVEREIRO",IF(AND(U70&gt;=CALENDARIO!$B$4,U70&lt;=CALENDARIO!$C$4),"MARÇO",IF(AND(U70&gt;=CALENDARIO!$B$5,U70&lt;=CALENDARIO!$C$5),"ABRIL",IF(AND(U70&gt;=CALENDARIO!$B$6,U70&lt;=CALENDARIO!$C$6),"MAIO",IF(AND(U70&gt;=CALENDARIO!$B$7,U70&lt;=CALENDARIO!$C$7),"JUNHO",IF(AND(U70&gt;=CALENDARIO!$B$8,U70&lt;=CALENDARIO!$C$8),"JULHO",IF(AND(U70&gt;=CALENDARIO!$B$9,U70&lt;=CALENDARIO!$C$9),"AGOSTO",IF(AND(U70&gt;=CALENDARIO!$B$10,U70&lt;=CALENDARIO!$C$10),"SETEMBRO",IF(AND(U70&gt;=CALENDARIO!$B$11,U70&lt;=CALENDARIO!$C$11),"OUTUBRO",IF(AND(U70&gt;=CALENDARIO!$B$12,U70&lt;=CALENDARIO!$C$12),"NOVEMBRO",IF(AND(U70&gt;=CALENDARIO!$B$13,U70&lt;=CALENDARIO!$C$13),"DEZEMBRO","-"))))))))))))</f>
        <v>-</v>
      </c>
      <c r="AI70" s="3">
        <f>LAN_OP[[#This Row],[VALOR CONTRATO]]-LAN_OP[[#This Row],[TOTAL CUSTO (O.C + DI + MT + MO+DESP)]]</f>
        <v>0</v>
      </c>
      <c r="AJ70" s="11" t="str">
        <f>IFERROR(LAN_OP[[#This Row],[R$ (CONTRATO - CUSTOS)]]/LAN_OP[[#This Row],[VALOR CONTRATO]],"")</f>
        <v/>
      </c>
      <c r="AK70" s="3">
        <f>LAN_OP[[#This Row],[VALOR CONTRATO]]-LAN_OP[[#This Row],[VALOR FATURADO]]</f>
        <v>0</v>
      </c>
      <c r="AL70" s="3" t="str">
        <f>IF(AND(C70&gt;=CALENDARIO!$B$2,C70&lt;=CALENDARIO!$C$2),"JANEIRO",IF(AND(C70&gt;=CALENDARIO!$B$3,C70&lt;=CALENDARIO!$C$3),"FEVEREIRO",IF(AND(C70&gt;=CALENDARIO!$B$4,C70&lt;=CALENDARIO!$C$4),"MARÇO",IF(AND(C70&gt;=CALENDARIO!$B$5,C70&lt;=CALENDARIO!$C$5),"ABRIL",IF(AND(C70&gt;=CALENDARIO!$B$6,C70&lt;=CALENDARIO!$C$6),"MAIO",IF(AND(C70&gt;=CALENDARIO!$B$7,C70&lt;=CALENDARIO!$C$7),"JUNHO",IF(AND(C70&gt;=CALENDARIO!$B$8,C70&lt;=CALENDARIO!$C$8),"JULHO",IF(AND(C70&gt;=CALENDARIO!$B$9,C70&lt;=CALENDARIO!$C$9),"AGOSTO",IF(AND(C70&gt;=CALENDARIO!$B$10,C70&lt;=CALENDARIO!$C$10),"SETEMBRO",IF(AND(C70&gt;=CALENDARIO!$B$11,C70&lt;=CALENDARIO!$C$11),"OUTUBRO",IF(AND(C70&gt;=CALENDARIO!$B$12,C70&lt;=CALENDARIO!$C$12),"NOVEMBRO",IF(AND(C70&gt;=CALENDARIO!$B$13,C70&lt;=CALENDARIO!$C$13),"DEZEMBRO","-"))))))))))))</f>
        <v>-</v>
      </c>
      <c r="AM70" s="3" t="str">
        <f>RIGHT(LAN_OP[[#This Row],[OP/OS]],4)</f>
        <v/>
      </c>
    </row>
    <row r="71" spans="2:39" x14ac:dyDescent="0.3">
      <c r="B71" s="80"/>
      <c r="C71" s="140"/>
      <c r="G71"/>
      <c r="H71"/>
      <c r="I71" s="3"/>
      <c r="J71" s="3"/>
      <c r="K71" s="11" t="e">
        <f>LAN_OP[[#This Row],[VALOR FATURADO]]/LAN_OP[[#This Row],[VALOR CONTRATO]]</f>
        <v>#DIV/0!</v>
      </c>
      <c r="L71" s="4">
        <f>LAN_OP[[#This Row],[VALOR CONTRATO]]-LAN_OP[[#This Row],[VALOR FATURADO]]</f>
        <v>0</v>
      </c>
      <c r="M71" s="11" t="e">
        <v>#DIV/0!</v>
      </c>
      <c r="N71" s="138"/>
      <c r="O71" s="138"/>
      <c r="P71" s="11"/>
      <c r="Q71" s="141"/>
      <c r="R71" s="3"/>
      <c r="S71" s="4"/>
      <c r="T71" s="8" t="str">
        <f>IFERROR(VLOOKUP(LAN_OP[[#This Row],[OP/OS]],LANC_FAT!A:M,2,0),"-")</f>
        <v>-</v>
      </c>
      <c r="U71" s="139" t="str">
        <f>IFERROR(VLOOKUP(LAN_OP[[#This Row],[OP/OS]],LANC_FAT!A:M,8,0),"-")</f>
        <v>-</v>
      </c>
      <c r="V71" s="10">
        <f>SUMIF(LANC_FAT[OP/OS],LAN_OP[[#This Row],[OP/OS]],LANC_FAT[VALOR DA NF COM IMPOSTO])</f>
        <v>0</v>
      </c>
      <c r="W71" s="3"/>
      <c r="X71" s="10">
        <f>SUMIF(LANC_COMPRA[OP/OS],LAN_OP[[#This Row],[OP/OS]],LANC_COMPRA[[VALOR ]])</f>
        <v>0</v>
      </c>
      <c r="Y71" s="10">
        <f>SUMIF(LANC_HORAS[OP/OS],LAN_OP[[#This Row],[OP/OS]],LANC_HORAS[TOTAL GERAL NORMAL])</f>
        <v>0</v>
      </c>
      <c r="Z71" s="10">
        <f>SUMIF(LANC_HORAS[OP/OS],LAN_OP[[#This Row],[OP/OS]],LANC_HORAS[TOTAL GERAL EXTRAS])</f>
        <v>0</v>
      </c>
      <c r="AA71" s="12">
        <f>SUMIF(LANC_HORAS[OP/OS],LAN_OP[[#This Row],[OP/OS]],LANC_HORAS[TOTAL H.N])</f>
        <v>0</v>
      </c>
      <c r="AB71" s="12">
        <f>SUMIF(LANC_HORAS[OP/OS],LAN_OP[[#This Row],[OP/OS]],LANC_HORAS[TOTAL H.E])</f>
        <v>0</v>
      </c>
      <c r="AC71" s="10">
        <f>SUMIF(LANC_DESPESAS[OS/OP],LAN_OP[[#This Row],[OP/OS]],LANC_DESPESAS[OBSERVAÇÕES])</f>
        <v>0</v>
      </c>
      <c r="AD71" s="3">
        <f>SUMIF(LANC_DESLOC[OS/OP],LAN_OP[[#This Row],[OP/OS]],LANC_DESLOC[ANO])</f>
        <v>0</v>
      </c>
      <c r="AE7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1" s="3">
        <f>LAN_OP[[#This Row],[TOTAL PARCIAL (M.O+MT+DESP)]]*1.08</f>
        <v>0</v>
      </c>
      <c r="AG71" s="3">
        <f>LAN_OP[[#This Row],[TOTAL PARCIAL + OUTROS CUSTOS (8%)]]*1.09</f>
        <v>0</v>
      </c>
      <c r="AH71" t="str">
        <f>IF(AND(U71&gt;=CALENDARIO!$B$2,U71&lt;=CALENDARIO!$C$2),"JANEIRO",IF(AND(U71&gt;=CALENDARIO!$B$3,U71&lt;=CALENDARIO!$C$3),"FEVEREIRO",IF(AND(U71&gt;=CALENDARIO!$B$4,U71&lt;=CALENDARIO!$C$4),"MARÇO",IF(AND(U71&gt;=CALENDARIO!$B$5,U71&lt;=CALENDARIO!$C$5),"ABRIL",IF(AND(U71&gt;=CALENDARIO!$B$6,U71&lt;=CALENDARIO!$C$6),"MAIO",IF(AND(U71&gt;=CALENDARIO!$B$7,U71&lt;=CALENDARIO!$C$7),"JUNHO",IF(AND(U71&gt;=CALENDARIO!$B$8,U71&lt;=CALENDARIO!$C$8),"JULHO",IF(AND(U71&gt;=CALENDARIO!$B$9,U71&lt;=CALENDARIO!$C$9),"AGOSTO",IF(AND(U71&gt;=CALENDARIO!$B$10,U71&lt;=CALENDARIO!$C$10),"SETEMBRO",IF(AND(U71&gt;=CALENDARIO!$B$11,U71&lt;=CALENDARIO!$C$11),"OUTUBRO",IF(AND(U71&gt;=CALENDARIO!$B$12,U71&lt;=CALENDARIO!$C$12),"NOVEMBRO",IF(AND(U71&gt;=CALENDARIO!$B$13,U71&lt;=CALENDARIO!$C$13),"DEZEMBRO","-"))))))))))))</f>
        <v>-</v>
      </c>
      <c r="AI71" s="3">
        <f>LAN_OP[[#This Row],[VALOR CONTRATO]]-LAN_OP[[#This Row],[TOTAL CUSTO (O.C + DI + MT + MO+DESP)]]</f>
        <v>0</v>
      </c>
      <c r="AJ71" s="11" t="str">
        <f>IFERROR(LAN_OP[[#This Row],[R$ (CONTRATO - CUSTOS)]]/LAN_OP[[#This Row],[VALOR CONTRATO]],"")</f>
        <v/>
      </c>
      <c r="AK71" s="3">
        <f>LAN_OP[[#This Row],[VALOR CONTRATO]]-LAN_OP[[#This Row],[VALOR FATURADO]]</f>
        <v>0</v>
      </c>
      <c r="AL71" s="3" t="str">
        <f>IF(AND(C71&gt;=CALENDARIO!$B$2,C71&lt;=CALENDARIO!$C$2),"JANEIRO",IF(AND(C71&gt;=CALENDARIO!$B$3,C71&lt;=CALENDARIO!$C$3),"FEVEREIRO",IF(AND(C71&gt;=CALENDARIO!$B$4,C71&lt;=CALENDARIO!$C$4),"MARÇO",IF(AND(C71&gt;=CALENDARIO!$B$5,C71&lt;=CALENDARIO!$C$5),"ABRIL",IF(AND(C71&gt;=CALENDARIO!$B$6,C71&lt;=CALENDARIO!$C$6),"MAIO",IF(AND(C71&gt;=CALENDARIO!$B$7,C71&lt;=CALENDARIO!$C$7),"JUNHO",IF(AND(C71&gt;=CALENDARIO!$B$8,C71&lt;=CALENDARIO!$C$8),"JULHO",IF(AND(C71&gt;=CALENDARIO!$B$9,C71&lt;=CALENDARIO!$C$9),"AGOSTO",IF(AND(C71&gt;=CALENDARIO!$B$10,C71&lt;=CALENDARIO!$C$10),"SETEMBRO",IF(AND(C71&gt;=CALENDARIO!$B$11,C71&lt;=CALENDARIO!$C$11),"OUTUBRO",IF(AND(C71&gt;=CALENDARIO!$B$12,C71&lt;=CALENDARIO!$C$12),"NOVEMBRO",IF(AND(C71&gt;=CALENDARIO!$B$13,C71&lt;=CALENDARIO!$C$13),"DEZEMBRO","-"))))))))))))</f>
        <v>-</v>
      </c>
      <c r="AM71" s="3" t="str">
        <f>RIGHT(LAN_OP[[#This Row],[OP/OS]],4)</f>
        <v/>
      </c>
    </row>
    <row r="72" spans="2:39" x14ac:dyDescent="0.3">
      <c r="B72" s="80"/>
      <c r="C72" s="140"/>
      <c r="G72"/>
      <c r="H72"/>
      <c r="I72" s="3"/>
      <c r="J72" s="3"/>
      <c r="K72" s="11" t="e">
        <f>LAN_OP[[#This Row],[VALOR FATURADO]]/LAN_OP[[#This Row],[VALOR CONTRATO]]</f>
        <v>#DIV/0!</v>
      </c>
      <c r="L72" s="4">
        <f>LAN_OP[[#This Row],[VALOR CONTRATO]]-LAN_OP[[#This Row],[VALOR FATURADO]]</f>
        <v>0</v>
      </c>
      <c r="M72" s="11" t="e">
        <v>#DIV/0!</v>
      </c>
      <c r="N72" s="138"/>
      <c r="O72" s="138"/>
      <c r="P72" s="11"/>
      <c r="Q72" s="141"/>
      <c r="R72" s="3"/>
      <c r="S72" s="4"/>
      <c r="T72" s="8" t="str">
        <f>IFERROR(VLOOKUP(LAN_OP[[#This Row],[OP/OS]],LANC_FAT!A:M,2,0),"-")</f>
        <v>-</v>
      </c>
      <c r="U72" s="139" t="str">
        <f>IFERROR(VLOOKUP(LAN_OP[[#This Row],[OP/OS]],LANC_FAT!A:M,8,0),"-")</f>
        <v>-</v>
      </c>
      <c r="V72" s="10">
        <f>SUMIF(LANC_FAT[OP/OS],LAN_OP[[#This Row],[OP/OS]],LANC_FAT[VALOR DA NF COM IMPOSTO])</f>
        <v>0</v>
      </c>
      <c r="W72" s="3"/>
      <c r="X72" s="10">
        <f>SUMIF(LANC_COMPRA[OP/OS],LAN_OP[[#This Row],[OP/OS]],LANC_COMPRA[[VALOR ]])</f>
        <v>0</v>
      </c>
      <c r="Y72" s="10">
        <f>SUMIF(LANC_HORAS[OP/OS],LAN_OP[[#This Row],[OP/OS]],LANC_HORAS[TOTAL GERAL NORMAL])</f>
        <v>0</v>
      </c>
      <c r="Z72" s="10">
        <f>SUMIF(LANC_HORAS[OP/OS],LAN_OP[[#This Row],[OP/OS]],LANC_HORAS[TOTAL GERAL EXTRAS])</f>
        <v>0</v>
      </c>
      <c r="AA72" s="12">
        <f>SUMIF(LANC_HORAS[OP/OS],LAN_OP[[#This Row],[OP/OS]],LANC_HORAS[TOTAL H.N])</f>
        <v>0</v>
      </c>
      <c r="AB72" s="12">
        <f>SUMIF(LANC_HORAS[OP/OS],LAN_OP[[#This Row],[OP/OS]],LANC_HORAS[TOTAL H.E])</f>
        <v>0</v>
      </c>
      <c r="AC72" s="10">
        <f>SUMIF(LANC_DESPESAS[OS/OP],LAN_OP[[#This Row],[OP/OS]],LANC_DESPESAS[OBSERVAÇÕES])</f>
        <v>0</v>
      </c>
      <c r="AD72" s="3">
        <f>SUMIF(LANC_DESLOC[OS/OP],LAN_OP[[#This Row],[OP/OS]],LANC_DESLOC[ANO])</f>
        <v>0</v>
      </c>
      <c r="AE7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2" s="3">
        <f>LAN_OP[[#This Row],[TOTAL PARCIAL (M.O+MT+DESP)]]*1.08</f>
        <v>0</v>
      </c>
      <c r="AG72" s="3">
        <f>LAN_OP[[#This Row],[TOTAL PARCIAL + OUTROS CUSTOS (8%)]]*1.09</f>
        <v>0</v>
      </c>
      <c r="AH72" t="str">
        <f>IF(AND(U72&gt;=CALENDARIO!$B$2,U72&lt;=CALENDARIO!$C$2),"JANEIRO",IF(AND(U72&gt;=CALENDARIO!$B$3,U72&lt;=CALENDARIO!$C$3),"FEVEREIRO",IF(AND(U72&gt;=CALENDARIO!$B$4,U72&lt;=CALENDARIO!$C$4),"MARÇO",IF(AND(U72&gt;=CALENDARIO!$B$5,U72&lt;=CALENDARIO!$C$5),"ABRIL",IF(AND(U72&gt;=CALENDARIO!$B$6,U72&lt;=CALENDARIO!$C$6),"MAIO",IF(AND(U72&gt;=CALENDARIO!$B$7,U72&lt;=CALENDARIO!$C$7),"JUNHO",IF(AND(U72&gt;=CALENDARIO!$B$8,U72&lt;=CALENDARIO!$C$8),"JULHO",IF(AND(U72&gt;=CALENDARIO!$B$9,U72&lt;=CALENDARIO!$C$9),"AGOSTO",IF(AND(U72&gt;=CALENDARIO!$B$10,U72&lt;=CALENDARIO!$C$10),"SETEMBRO",IF(AND(U72&gt;=CALENDARIO!$B$11,U72&lt;=CALENDARIO!$C$11),"OUTUBRO",IF(AND(U72&gt;=CALENDARIO!$B$12,U72&lt;=CALENDARIO!$C$12),"NOVEMBRO",IF(AND(U72&gt;=CALENDARIO!$B$13,U72&lt;=CALENDARIO!$C$13),"DEZEMBRO","-"))))))))))))</f>
        <v>-</v>
      </c>
      <c r="AI72" s="3">
        <f>LAN_OP[[#This Row],[VALOR CONTRATO]]-LAN_OP[[#This Row],[TOTAL CUSTO (O.C + DI + MT + MO+DESP)]]</f>
        <v>0</v>
      </c>
      <c r="AJ72" s="11" t="str">
        <f>IFERROR(LAN_OP[[#This Row],[R$ (CONTRATO - CUSTOS)]]/LAN_OP[[#This Row],[VALOR CONTRATO]],"")</f>
        <v/>
      </c>
      <c r="AK72" s="3">
        <f>LAN_OP[[#This Row],[VALOR CONTRATO]]-LAN_OP[[#This Row],[VALOR FATURADO]]</f>
        <v>0</v>
      </c>
      <c r="AL72" s="3" t="str">
        <f>IF(AND(C72&gt;=CALENDARIO!$B$2,C72&lt;=CALENDARIO!$C$2),"JANEIRO",IF(AND(C72&gt;=CALENDARIO!$B$3,C72&lt;=CALENDARIO!$C$3),"FEVEREIRO",IF(AND(C72&gt;=CALENDARIO!$B$4,C72&lt;=CALENDARIO!$C$4),"MARÇO",IF(AND(C72&gt;=CALENDARIO!$B$5,C72&lt;=CALENDARIO!$C$5),"ABRIL",IF(AND(C72&gt;=CALENDARIO!$B$6,C72&lt;=CALENDARIO!$C$6),"MAIO",IF(AND(C72&gt;=CALENDARIO!$B$7,C72&lt;=CALENDARIO!$C$7),"JUNHO",IF(AND(C72&gt;=CALENDARIO!$B$8,C72&lt;=CALENDARIO!$C$8),"JULHO",IF(AND(C72&gt;=CALENDARIO!$B$9,C72&lt;=CALENDARIO!$C$9),"AGOSTO",IF(AND(C72&gt;=CALENDARIO!$B$10,C72&lt;=CALENDARIO!$C$10),"SETEMBRO",IF(AND(C72&gt;=CALENDARIO!$B$11,C72&lt;=CALENDARIO!$C$11),"OUTUBRO",IF(AND(C72&gt;=CALENDARIO!$B$12,C72&lt;=CALENDARIO!$C$12),"NOVEMBRO",IF(AND(C72&gt;=CALENDARIO!$B$13,C72&lt;=CALENDARIO!$C$13),"DEZEMBRO","-"))))))))))))</f>
        <v>-</v>
      </c>
      <c r="AM72" s="3" t="str">
        <f>RIGHT(LAN_OP[[#This Row],[OP/OS]],4)</f>
        <v/>
      </c>
    </row>
    <row r="73" spans="2:39" x14ac:dyDescent="0.3">
      <c r="B73" s="80"/>
      <c r="C73" s="140"/>
      <c r="G73"/>
      <c r="H73"/>
      <c r="I73" s="3"/>
      <c r="J73" s="3"/>
      <c r="K73" s="11" t="e">
        <f>LAN_OP[[#This Row],[VALOR FATURADO]]/LAN_OP[[#This Row],[VALOR CONTRATO]]</f>
        <v>#DIV/0!</v>
      </c>
      <c r="L73" s="4">
        <f>LAN_OP[[#This Row],[VALOR CONTRATO]]-LAN_OP[[#This Row],[VALOR FATURADO]]</f>
        <v>0</v>
      </c>
      <c r="M73" s="11" t="e">
        <v>#DIV/0!</v>
      </c>
      <c r="N73" s="138"/>
      <c r="O73" s="138"/>
      <c r="P73" s="11"/>
      <c r="Q73" s="141"/>
      <c r="R73" s="3"/>
      <c r="S73" s="4"/>
      <c r="T73" s="8" t="str">
        <f>IFERROR(VLOOKUP(LAN_OP[[#This Row],[OP/OS]],LANC_FAT!A:M,2,0),"-")</f>
        <v>-</v>
      </c>
      <c r="U73" s="139" t="str">
        <f>IFERROR(VLOOKUP(LAN_OP[[#This Row],[OP/OS]],LANC_FAT!A:M,8,0),"-")</f>
        <v>-</v>
      </c>
      <c r="V73" s="10">
        <f>SUMIF(LANC_FAT[OP/OS],LAN_OP[[#This Row],[OP/OS]],LANC_FAT[VALOR DA NF COM IMPOSTO])</f>
        <v>0</v>
      </c>
      <c r="W73" s="3"/>
      <c r="X73" s="10">
        <f>SUMIF(LANC_COMPRA[OP/OS],LAN_OP[[#This Row],[OP/OS]],LANC_COMPRA[[VALOR ]])</f>
        <v>0</v>
      </c>
      <c r="Y73" s="10">
        <f>SUMIF(LANC_HORAS[OP/OS],LAN_OP[[#This Row],[OP/OS]],LANC_HORAS[TOTAL GERAL NORMAL])</f>
        <v>0</v>
      </c>
      <c r="Z73" s="10">
        <f>SUMIF(LANC_HORAS[OP/OS],LAN_OP[[#This Row],[OP/OS]],LANC_HORAS[TOTAL GERAL EXTRAS])</f>
        <v>0</v>
      </c>
      <c r="AA73" s="12">
        <f>SUMIF(LANC_HORAS[OP/OS],LAN_OP[[#This Row],[OP/OS]],LANC_HORAS[TOTAL H.N])</f>
        <v>0</v>
      </c>
      <c r="AB73" s="12">
        <f>SUMIF(LANC_HORAS[OP/OS],LAN_OP[[#This Row],[OP/OS]],LANC_HORAS[TOTAL H.E])</f>
        <v>0</v>
      </c>
      <c r="AC73" s="10">
        <f>SUMIF(LANC_DESPESAS[OS/OP],LAN_OP[[#This Row],[OP/OS]],LANC_DESPESAS[OBSERVAÇÕES])</f>
        <v>0</v>
      </c>
      <c r="AD73" s="3">
        <f>SUMIF(LANC_DESLOC[OS/OP],LAN_OP[[#This Row],[OP/OS]],LANC_DESLOC[ANO])</f>
        <v>0</v>
      </c>
      <c r="AE7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3" s="3">
        <f>LAN_OP[[#This Row],[TOTAL PARCIAL (M.O+MT+DESP)]]*1.08</f>
        <v>0</v>
      </c>
      <c r="AG73" s="3">
        <f>LAN_OP[[#This Row],[TOTAL PARCIAL + OUTROS CUSTOS (8%)]]*1.09</f>
        <v>0</v>
      </c>
      <c r="AH73" t="str">
        <f>IF(AND(U73&gt;=CALENDARIO!$B$2,U73&lt;=CALENDARIO!$C$2),"JANEIRO",IF(AND(U73&gt;=CALENDARIO!$B$3,U73&lt;=CALENDARIO!$C$3),"FEVEREIRO",IF(AND(U73&gt;=CALENDARIO!$B$4,U73&lt;=CALENDARIO!$C$4),"MARÇO",IF(AND(U73&gt;=CALENDARIO!$B$5,U73&lt;=CALENDARIO!$C$5),"ABRIL",IF(AND(U73&gt;=CALENDARIO!$B$6,U73&lt;=CALENDARIO!$C$6),"MAIO",IF(AND(U73&gt;=CALENDARIO!$B$7,U73&lt;=CALENDARIO!$C$7),"JUNHO",IF(AND(U73&gt;=CALENDARIO!$B$8,U73&lt;=CALENDARIO!$C$8),"JULHO",IF(AND(U73&gt;=CALENDARIO!$B$9,U73&lt;=CALENDARIO!$C$9),"AGOSTO",IF(AND(U73&gt;=CALENDARIO!$B$10,U73&lt;=CALENDARIO!$C$10),"SETEMBRO",IF(AND(U73&gt;=CALENDARIO!$B$11,U73&lt;=CALENDARIO!$C$11),"OUTUBRO",IF(AND(U73&gt;=CALENDARIO!$B$12,U73&lt;=CALENDARIO!$C$12),"NOVEMBRO",IF(AND(U73&gt;=CALENDARIO!$B$13,U73&lt;=CALENDARIO!$C$13),"DEZEMBRO","-"))))))))))))</f>
        <v>-</v>
      </c>
      <c r="AI73" s="3">
        <f>LAN_OP[[#This Row],[VALOR CONTRATO]]-LAN_OP[[#This Row],[TOTAL CUSTO (O.C + DI + MT + MO+DESP)]]</f>
        <v>0</v>
      </c>
      <c r="AJ73" s="11" t="str">
        <f>IFERROR(LAN_OP[[#This Row],[R$ (CONTRATO - CUSTOS)]]/LAN_OP[[#This Row],[VALOR CONTRATO]],"")</f>
        <v/>
      </c>
      <c r="AK73" s="3">
        <f>LAN_OP[[#This Row],[VALOR CONTRATO]]-LAN_OP[[#This Row],[VALOR FATURADO]]</f>
        <v>0</v>
      </c>
      <c r="AL73" s="3" t="str">
        <f>IF(AND(C73&gt;=CALENDARIO!$B$2,C73&lt;=CALENDARIO!$C$2),"JANEIRO",IF(AND(C73&gt;=CALENDARIO!$B$3,C73&lt;=CALENDARIO!$C$3),"FEVEREIRO",IF(AND(C73&gt;=CALENDARIO!$B$4,C73&lt;=CALENDARIO!$C$4),"MARÇO",IF(AND(C73&gt;=CALENDARIO!$B$5,C73&lt;=CALENDARIO!$C$5),"ABRIL",IF(AND(C73&gt;=CALENDARIO!$B$6,C73&lt;=CALENDARIO!$C$6),"MAIO",IF(AND(C73&gt;=CALENDARIO!$B$7,C73&lt;=CALENDARIO!$C$7),"JUNHO",IF(AND(C73&gt;=CALENDARIO!$B$8,C73&lt;=CALENDARIO!$C$8),"JULHO",IF(AND(C73&gt;=CALENDARIO!$B$9,C73&lt;=CALENDARIO!$C$9),"AGOSTO",IF(AND(C73&gt;=CALENDARIO!$B$10,C73&lt;=CALENDARIO!$C$10),"SETEMBRO",IF(AND(C73&gt;=CALENDARIO!$B$11,C73&lt;=CALENDARIO!$C$11),"OUTUBRO",IF(AND(C73&gt;=CALENDARIO!$B$12,C73&lt;=CALENDARIO!$C$12),"NOVEMBRO",IF(AND(C73&gt;=CALENDARIO!$B$13,C73&lt;=CALENDARIO!$C$13),"DEZEMBRO","-"))))))))))))</f>
        <v>-</v>
      </c>
      <c r="AM73" s="3" t="str">
        <f>RIGHT(LAN_OP[[#This Row],[OP/OS]],4)</f>
        <v/>
      </c>
    </row>
    <row r="74" spans="2:39" x14ac:dyDescent="0.3">
      <c r="B74" s="80"/>
      <c r="C74" s="140"/>
      <c r="G74"/>
      <c r="H74"/>
      <c r="I74" s="3"/>
      <c r="J74" s="3"/>
      <c r="K74" s="11" t="e">
        <f>LAN_OP[[#This Row],[VALOR FATURADO]]/LAN_OP[[#This Row],[VALOR CONTRATO]]</f>
        <v>#DIV/0!</v>
      </c>
      <c r="L74" s="4">
        <f>LAN_OP[[#This Row],[VALOR CONTRATO]]-LAN_OP[[#This Row],[VALOR FATURADO]]</f>
        <v>0</v>
      </c>
      <c r="M74" s="11" t="e">
        <v>#DIV/0!</v>
      </c>
      <c r="N74" s="138"/>
      <c r="O74" s="138"/>
      <c r="P74" s="11"/>
      <c r="Q74" s="141"/>
      <c r="R74" s="3"/>
      <c r="S74" s="4"/>
      <c r="T74" s="8" t="str">
        <f>IFERROR(VLOOKUP(LAN_OP[[#This Row],[OP/OS]],LANC_FAT!A:M,2,0),"-")</f>
        <v>-</v>
      </c>
      <c r="U74" s="139" t="str">
        <f>IFERROR(VLOOKUP(LAN_OP[[#This Row],[OP/OS]],LANC_FAT!A:M,8,0),"-")</f>
        <v>-</v>
      </c>
      <c r="V74" s="10">
        <f>SUMIF(LANC_FAT[OP/OS],LAN_OP[[#This Row],[OP/OS]],LANC_FAT[VALOR DA NF COM IMPOSTO])</f>
        <v>0</v>
      </c>
      <c r="W74" s="3"/>
      <c r="X74" s="10">
        <f>SUMIF(LANC_COMPRA[OP/OS],LAN_OP[[#This Row],[OP/OS]],LANC_COMPRA[[VALOR ]])</f>
        <v>0</v>
      </c>
      <c r="Y74" s="10">
        <f>SUMIF(LANC_HORAS[OP/OS],LAN_OP[[#This Row],[OP/OS]],LANC_HORAS[TOTAL GERAL NORMAL])</f>
        <v>0</v>
      </c>
      <c r="Z74" s="10">
        <f>SUMIF(LANC_HORAS[OP/OS],LAN_OP[[#This Row],[OP/OS]],LANC_HORAS[TOTAL GERAL EXTRAS])</f>
        <v>0</v>
      </c>
      <c r="AA74" s="12">
        <f>SUMIF(LANC_HORAS[OP/OS],LAN_OP[[#This Row],[OP/OS]],LANC_HORAS[TOTAL H.N])</f>
        <v>0</v>
      </c>
      <c r="AB74" s="12">
        <f>SUMIF(LANC_HORAS[OP/OS],LAN_OP[[#This Row],[OP/OS]],LANC_HORAS[TOTAL H.E])</f>
        <v>0</v>
      </c>
      <c r="AC74" s="10">
        <f>SUMIF(LANC_DESPESAS[OS/OP],LAN_OP[[#This Row],[OP/OS]],LANC_DESPESAS[OBSERVAÇÕES])</f>
        <v>0</v>
      </c>
      <c r="AD74" s="3">
        <f>SUMIF(LANC_DESLOC[OS/OP],LAN_OP[[#This Row],[OP/OS]],LANC_DESLOC[ANO])</f>
        <v>0</v>
      </c>
      <c r="AE7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4" s="3">
        <f>LAN_OP[[#This Row],[TOTAL PARCIAL (M.O+MT+DESP)]]*1.08</f>
        <v>0</v>
      </c>
      <c r="AG74" s="3">
        <f>LAN_OP[[#This Row],[TOTAL PARCIAL + OUTROS CUSTOS (8%)]]*1.09</f>
        <v>0</v>
      </c>
      <c r="AH74" t="str">
        <f>IF(AND(U74&gt;=CALENDARIO!$B$2,U74&lt;=CALENDARIO!$C$2),"JANEIRO",IF(AND(U74&gt;=CALENDARIO!$B$3,U74&lt;=CALENDARIO!$C$3),"FEVEREIRO",IF(AND(U74&gt;=CALENDARIO!$B$4,U74&lt;=CALENDARIO!$C$4),"MARÇO",IF(AND(U74&gt;=CALENDARIO!$B$5,U74&lt;=CALENDARIO!$C$5),"ABRIL",IF(AND(U74&gt;=CALENDARIO!$B$6,U74&lt;=CALENDARIO!$C$6),"MAIO",IF(AND(U74&gt;=CALENDARIO!$B$7,U74&lt;=CALENDARIO!$C$7),"JUNHO",IF(AND(U74&gt;=CALENDARIO!$B$8,U74&lt;=CALENDARIO!$C$8),"JULHO",IF(AND(U74&gt;=CALENDARIO!$B$9,U74&lt;=CALENDARIO!$C$9),"AGOSTO",IF(AND(U74&gt;=CALENDARIO!$B$10,U74&lt;=CALENDARIO!$C$10),"SETEMBRO",IF(AND(U74&gt;=CALENDARIO!$B$11,U74&lt;=CALENDARIO!$C$11),"OUTUBRO",IF(AND(U74&gt;=CALENDARIO!$B$12,U74&lt;=CALENDARIO!$C$12),"NOVEMBRO",IF(AND(U74&gt;=CALENDARIO!$B$13,U74&lt;=CALENDARIO!$C$13),"DEZEMBRO","-"))))))))))))</f>
        <v>-</v>
      </c>
      <c r="AI74" s="3">
        <f>LAN_OP[[#This Row],[VALOR CONTRATO]]-LAN_OP[[#This Row],[TOTAL CUSTO (O.C + DI + MT + MO+DESP)]]</f>
        <v>0</v>
      </c>
      <c r="AJ74" s="11" t="str">
        <f>IFERROR(LAN_OP[[#This Row],[R$ (CONTRATO - CUSTOS)]]/LAN_OP[[#This Row],[VALOR CONTRATO]],"")</f>
        <v/>
      </c>
      <c r="AK74" s="3">
        <f>LAN_OP[[#This Row],[VALOR CONTRATO]]-LAN_OP[[#This Row],[VALOR FATURADO]]</f>
        <v>0</v>
      </c>
      <c r="AL74" s="3" t="str">
        <f>IF(AND(C74&gt;=CALENDARIO!$B$2,C74&lt;=CALENDARIO!$C$2),"JANEIRO",IF(AND(C74&gt;=CALENDARIO!$B$3,C74&lt;=CALENDARIO!$C$3),"FEVEREIRO",IF(AND(C74&gt;=CALENDARIO!$B$4,C74&lt;=CALENDARIO!$C$4),"MARÇO",IF(AND(C74&gt;=CALENDARIO!$B$5,C74&lt;=CALENDARIO!$C$5),"ABRIL",IF(AND(C74&gt;=CALENDARIO!$B$6,C74&lt;=CALENDARIO!$C$6),"MAIO",IF(AND(C74&gt;=CALENDARIO!$B$7,C74&lt;=CALENDARIO!$C$7),"JUNHO",IF(AND(C74&gt;=CALENDARIO!$B$8,C74&lt;=CALENDARIO!$C$8),"JULHO",IF(AND(C74&gt;=CALENDARIO!$B$9,C74&lt;=CALENDARIO!$C$9),"AGOSTO",IF(AND(C74&gt;=CALENDARIO!$B$10,C74&lt;=CALENDARIO!$C$10),"SETEMBRO",IF(AND(C74&gt;=CALENDARIO!$B$11,C74&lt;=CALENDARIO!$C$11),"OUTUBRO",IF(AND(C74&gt;=CALENDARIO!$B$12,C74&lt;=CALENDARIO!$C$12),"NOVEMBRO",IF(AND(C74&gt;=CALENDARIO!$B$13,C74&lt;=CALENDARIO!$C$13),"DEZEMBRO","-"))))))))))))</f>
        <v>-</v>
      </c>
      <c r="AM74" s="3" t="str">
        <f>RIGHT(LAN_OP[[#This Row],[OP/OS]],4)</f>
        <v/>
      </c>
    </row>
    <row r="75" spans="2:39" x14ac:dyDescent="0.3">
      <c r="B75" s="80"/>
      <c r="C75" s="140"/>
      <c r="G75"/>
      <c r="H75"/>
      <c r="I75" s="3"/>
      <c r="J75" s="3"/>
      <c r="K75" s="11" t="e">
        <f>LAN_OP[[#This Row],[VALOR FATURADO]]/LAN_OP[[#This Row],[VALOR CONTRATO]]</f>
        <v>#DIV/0!</v>
      </c>
      <c r="L75" s="4">
        <f>LAN_OP[[#This Row],[VALOR CONTRATO]]-LAN_OP[[#This Row],[VALOR FATURADO]]</f>
        <v>0</v>
      </c>
      <c r="M75" s="11" t="e">
        <v>#DIV/0!</v>
      </c>
      <c r="N75" s="138"/>
      <c r="O75" s="138"/>
      <c r="P75" s="11"/>
      <c r="Q75" s="141"/>
      <c r="R75" s="3"/>
      <c r="S75" s="4"/>
      <c r="T75" s="8" t="str">
        <f>IFERROR(VLOOKUP(LAN_OP[[#This Row],[OP/OS]],LANC_FAT!A:M,2,0),"-")</f>
        <v>-</v>
      </c>
      <c r="U75" s="139" t="str">
        <f>IFERROR(VLOOKUP(LAN_OP[[#This Row],[OP/OS]],LANC_FAT!A:M,8,0),"-")</f>
        <v>-</v>
      </c>
      <c r="V75" s="10">
        <f>SUMIF(LANC_FAT[OP/OS],LAN_OP[[#This Row],[OP/OS]],LANC_FAT[VALOR DA NF COM IMPOSTO])</f>
        <v>0</v>
      </c>
      <c r="W75" s="3"/>
      <c r="X75" s="10">
        <f>SUMIF(LANC_COMPRA[OP/OS],LAN_OP[[#This Row],[OP/OS]],LANC_COMPRA[[VALOR ]])</f>
        <v>0</v>
      </c>
      <c r="Y75" s="10">
        <f>SUMIF(LANC_HORAS[OP/OS],LAN_OP[[#This Row],[OP/OS]],LANC_HORAS[TOTAL GERAL NORMAL])</f>
        <v>0</v>
      </c>
      <c r="Z75" s="10">
        <f>SUMIF(LANC_HORAS[OP/OS],LAN_OP[[#This Row],[OP/OS]],LANC_HORAS[TOTAL GERAL EXTRAS])</f>
        <v>0</v>
      </c>
      <c r="AA75" s="12">
        <f>SUMIF(LANC_HORAS[OP/OS],LAN_OP[[#This Row],[OP/OS]],LANC_HORAS[TOTAL H.N])</f>
        <v>0</v>
      </c>
      <c r="AB75" s="12">
        <f>SUMIF(LANC_HORAS[OP/OS],LAN_OP[[#This Row],[OP/OS]],LANC_HORAS[TOTAL H.E])</f>
        <v>0</v>
      </c>
      <c r="AC75" s="10">
        <f>SUMIF(LANC_DESPESAS[OS/OP],LAN_OP[[#This Row],[OP/OS]],LANC_DESPESAS[OBSERVAÇÕES])</f>
        <v>0</v>
      </c>
      <c r="AD75" s="3">
        <f>SUMIF(LANC_DESLOC[OS/OP],LAN_OP[[#This Row],[OP/OS]],LANC_DESLOC[ANO])</f>
        <v>0</v>
      </c>
      <c r="AE7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5" s="3">
        <f>LAN_OP[[#This Row],[TOTAL PARCIAL (M.O+MT+DESP)]]*1.08</f>
        <v>0</v>
      </c>
      <c r="AG75" s="3">
        <f>LAN_OP[[#This Row],[TOTAL PARCIAL + OUTROS CUSTOS (8%)]]*1.09</f>
        <v>0</v>
      </c>
      <c r="AH75" t="str">
        <f>IF(AND(U75&gt;=CALENDARIO!$B$2,U75&lt;=CALENDARIO!$C$2),"JANEIRO",IF(AND(U75&gt;=CALENDARIO!$B$3,U75&lt;=CALENDARIO!$C$3),"FEVEREIRO",IF(AND(U75&gt;=CALENDARIO!$B$4,U75&lt;=CALENDARIO!$C$4),"MARÇO",IF(AND(U75&gt;=CALENDARIO!$B$5,U75&lt;=CALENDARIO!$C$5),"ABRIL",IF(AND(U75&gt;=CALENDARIO!$B$6,U75&lt;=CALENDARIO!$C$6),"MAIO",IF(AND(U75&gt;=CALENDARIO!$B$7,U75&lt;=CALENDARIO!$C$7),"JUNHO",IF(AND(U75&gt;=CALENDARIO!$B$8,U75&lt;=CALENDARIO!$C$8),"JULHO",IF(AND(U75&gt;=CALENDARIO!$B$9,U75&lt;=CALENDARIO!$C$9),"AGOSTO",IF(AND(U75&gt;=CALENDARIO!$B$10,U75&lt;=CALENDARIO!$C$10),"SETEMBRO",IF(AND(U75&gt;=CALENDARIO!$B$11,U75&lt;=CALENDARIO!$C$11),"OUTUBRO",IF(AND(U75&gt;=CALENDARIO!$B$12,U75&lt;=CALENDARIO!$C$12),"NOVEMBRO",IF(AND(U75&gt;=CALENDARIO!$B$13,U75&lt;=CALENDARIO!$C$13),"DEZEMBRO","-"))))))))))))</f>
        <v>-</v>
      </c>
      <c r="AI75" s="3">
        <f>LAN_OP[[#This Row],[VALOR CONTRATO]]-LAN_OP[[#This Row],[TOTAL CUSTO (O.C + DI + MT + MO+DESP)]]</f>
        <v>0</v>
      </c>
      <c r="AJ75" s="11" t="str">
        <f>IFERROR(LAN_OP[[#This Row],[R$ (CONTRATO - CUSTOS)]]/LAN_OP[[#This Row],[VALOR CONTRATO]],"")</f>
        <v/>
      </c>
      <c r="AK75" s="3">
        <f>LAN_OP[[#This Row],[VALOR CONTRATO]]-LAN_OP[[#This Row],[VALOR FATURADO]]</f>
        <v>0</v>
      </c>
      <c r="AL75" s="3" t="str">
        <f>IF(AND(C75&gt;=CALENDARIO!$B$2,C75&lt;=CALENDARIO!$C$2),"JANEIRO",IF(AND(C75&gt;=CALENDARIO!$B$3,C75&lt;=CALENDARIO!$C$3),"FEVEREIRO",IF(AND(C75&gt;=CALENDARIO!$B$4,C75&lt;=CALENDARIO!$C$4),"MARÇO",IF(AND(C75&gt;=CALENDARIO!$B$5,C75&lt;=CALENDARIO!$C$5),"ABRIL",IF(AND(C75&gt;=CALENDARIO!$B$6,C75&lt;=CALENDARIO!$C$6),"MAIO",IF(AND(C75&gt;=CALENDARIO!$B$7,C75&lt;=CALENDARIO!$C$7),"JUNHO",IF(AND(C75&gt;=CALENDARIO!$B$8,C75&lt;=CALENDARIO!$C$8),"JULHO",IF(AND(C75&gt;=CALENDARIO!$B$9,C75&lt;=CALENDARIO!$C$9),"AGOSTO",IF(AND(C75&gt;=CALENDARIO!$B$10,C75&lt;=CALENDARIO!$C$10),"SETEMBRO",IF(AND(C75&gt;=CALENDARIO!$B$11,C75&lt;=CALENDARIO!$C$11),"OUTUBRO",IF(AND(C75&gt;=CALENDARIO!$B$12,C75&lt;=CALENDARIO!$C$12),"NOVEMBRO",IF(AND(C75&gt;=CALENDARIO!$B$13,C75&lt;=CALENDARIO!$C$13),"DEZEMBRO","-"))))))))))))</f>
        <v>-</v>
      </c>
      <c r="AM75" s="3" t="str">
        <f>RIGHT(LAN_OP[[#This Row],[OP/OS]],4)</f>
        <v/>
      </c>
    </row>
    <row r="76" spans="2:39" x14ac:dyDescent="0.3">
      <c r="B76" s="80"/>
      <c r="C76" s="140"/>
      <c r="G76"/>
      <c r="H76"/>
      <c r="I76" s="3"/>
      <c r="J76" s="3"/>
      <c r="K76" s="11" t="e">
        <f>LAN_OP[[#This Row],[VALOR FATURADO]]/LAN_OP[[#This Row],[VALOR CONTRATO]]</f>
        <v>#DIV/0!</v>
      </c>
      <c r="L76" s="4">
        <f>LAN_OP[[#This Row],[VALOR CONTRATO]]-LAN_OP[[#This Row],[VALOR FATURADO]]</f>
        <v>0</v>
      </c>
      <c r="M76" s="11" t="e">
        <v>#DIV/0!</v>
      </c>
      <c r="N76" s="138"/>
      <c r="O76" s="138"/>
      <c r="P76" s="11"/>
      <c r="Q76" s="141"/>
      <c r="R76" s="3"/>
      <c r="S76" s="4"/>
      <c r="T76" s="8" t="str">
        <f>IFERROR(VLOOKUP(LAN_OP[[#This Row],[OP/OS]],LANC_FAT!A:M,2,0),"-")</f>
        <v>-</v>
      </c>
      <c r="U76" s="139" t="str">
        <f>IFERROR(VLOOKUP(LAN_OP[[#This Row],[OP/OS]],LANC_FAT!A:M,8,0),"-")</f>
        <v>-</v>
      </c>
      <c r="V76" s="10">
        <f>SUMIF(LANC_FAT[OP/OS],LAN_OP[[#This Row],[OP/OS]],LANC_FAT[VALOR DA NF COM IMPOSTO])</f>
        <v>0</v>
      </c>
      <c r="W76" s="3"/>
      <c r="X76" s="10">
        <f>SUMIF(LANC_COMPRA[OP/OS],LAN_OP[[#This Row],[OP/OS]],LANC_COMPRA[[VALOR ]])</f>
        <v>0</v>
      </c>
      <c r="Y76" s="10">
        <f>SUMIF(LANC_HORAS[OP/OS],LAN_OP[[#This Row],[OP/OS]],LANC_HORAS[TOTAL GERAL NORMAL])</f>
        <v>0</v>
      </c>
      <c r="Z76" s="10">
        <f>SUMIF(LANC_HORAS[OP/OS],LAN_OP[[#This Row],[OP/OS]],LANC_HORAS[TOTAL GERAL EXTRAS])</f>
        <v>0</v>
      </c>
      <c r="AA76" s="12">
        <f>SUMIF(LANC_HORAS[OP/OS],LAN_OP[[#This Row],[OP/OS]],LANC_HORAS[TOTAL H.N])</f>
        <v>0</v>
      </c>
      <c r="AB76" s="12">
        <f>SUMIF(LANC_HORAS[OP/OS],LAN_OP[[#This Row],[OP/OS]],LANC_HORAS[TOTAL H.E])</f>
        <v>0</v>
      </c>
      <c r="AC76" s="10">
        <f>SUMIF(LANC_DESPESAS[OS/OP],LAN_OP[[#This Row],[OP/OS]],LANC_DESPESAS[OBSERVAÇÕES])</f>
        <v>0</v>
      </c>
      <c r="AD76" s="3">
        <f>SUMIF(LANC_DESLOC[OS/OP],LAN_OP[[#This Row],[OP/OS]],LANC_DESLOC[ANO])</f>
        <v>0</v>
      </c>
      <c r="AE7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6" s="3">
        <f>LAN_OP[[#This Row],[TOTAL PARCIAL (M.O+MT+DESP)]]*1.08</f>
        <v>0</v>
      </c>
      <c r="AG76" s="3">
        <f>LAN_OP[[#This Row],[TOTAL PARCIAL + OUTROS CUSTOS (8%)]]*1.09</f>
        <v>0</v>
      </c>
      <c r="AH76" t="str">
        <f>IF(AND(U76&gt;=CALENDARIO!$B$2,U76&lt;=CALENDARIO!$C$2),"JANEIRO",IF(AND(U76&gt;=CALENDARIO!$B$3,U76&lt;=CALENDARIO!$C$3),"FEVEREIRO",IF(AND(U76&gt;=CALENDARIO!$B$4,U76&lt;=CALENDARIO!$C$4),"MARÇO",IF(AND(U76&gt;=CALENDARIO!$B$5,U76&lt;=CALENDARIO!$C$5),"ABRIL",IF(AND(U76&gt;=CALENDARIO!$B$6,U76&lt;=CALENDARIO!$C$6),"MAIO",IF(AND(U76&gt;=CALENDARIO!$B$7,U76&lt;=CALENDARIO!$C$7),"JUNHO",IF(AND(U76&gt;=CALENDARIO!$B$8,U76&lt;=CALENDARIO!$C$8),"JULHO",IF(AND(U76&gt;=CALENDARIO!$B$9,U76&lt;=CALENDARIO!$C$9),"AGOSTO",IF(AND(U76&gt;=CALENDARIO!$B$10,U76&lt;=CALENDARIO!$C$10),"SETEMBRO",IF(AND(U76&gt;=CALENDARIO!$B$11,U76&lt;=CALENDARIO!$C$11),"OUTUBRO",IF(AND(U76&gt;=CALENDARIO!$B$12,U76&lt;=CALENDARIO!$C$12),"NOVEMBRO",IF(AND(U76&gt;=CALENDARIO!$B$13,U76&lt;=CALENDARIO!$C$13),"DEZEMBRO","-"))))))))))))</f>
        <v>-</v>
      </c>
      <c r="AI76" s="3">
        <f>LAN_OP[[#This Row],[VALOR CONTRATO]]-LAN_OP[[#This Row],[TOTAL CUSTO (O.C + DI + MT + MO+DESP)]]</f>
        <v>0</v>
      </c>
      <c r="AJ76" s="11" t="str">
        <f>IFERROR(LAN_OP[[#This Row],[R$ (CONTRATO - CUSTOS)]]/LAN_OP[[#This Row],[VALOR CONTRATO]],"")</f>
        <v/>
      </c>
      <c r="AK76" s="3">
        <f>LAN_OP[[#This Row],[VALOR CONTRATO]]-LAN_OP[[#This Row],[VALOR FATURADO]]</f>
        <v>0</v>
      </c>
      <c r="AL76" s="3" t="str">
        <f>IF(AND(C76&gt;=CALENDARIO!$B$2,C76&lt;=CALENDARIO!$C$2),"JANEIRO",IF(AND(C76&gt;=CALENDARIO!$B$3,C76&lt;=CALENDARIO!$C$3),"FEVEREIRO",IF(AND(C76&gt;=CALENDARIO!$B$4,C76&lt;=CALENDARIO!$C$4),"MARÇO",IF(AND(C76&gt;=CALENDARIO!$B$5,C76&lt;=CALENDARIO!$C$5),"ABRIL",IF(AND(C76&gt;=CALENDARIO!$B$6,C76&lt;=CALENDARIO!$C$6),"MAIO",IF(AND(C76&gt;=CALENDARIO!$B$7,C76&lt;=CALENDARIO!$C$7),"JUNHO",IF(AND(C76&gt;=CALENDARIO!$B$8,C76&lt;=CALENDARIO!$C$8),"JULHO",IF(AND(C76&gt;=CALENDARIO!$B$9,C76&lt;=CALENDARIO!$C$9),"AGOSTO",IF(AND(C76&gt;=CALENDARIO!$B$10,C76&lt;=CALENDARIO!$C$10),"SETEMBRO",IF(AND(C76&gt;=CALENDARIO!$B$11,C76&lt;=CALENDARIO!$C$11),"OUTUBRO",IF(AND(C76&gt;=CALENDARIO!$B$12,C76&lt;=CALENDARIO!$C$12),"NOVEMBRO",IF(AND(C76&gt;=CALENDARIO!$B$13,C76&lt;=CALENDARIO!$C$13),"DEZEMBRO","-"))))))))))))</f>
        <v>-</v>
      </c>
      <c r="AM76" s="3" t="str">
        <f>RIGHT(LAN_OP[[#This Row],[OP/OS]],4)</f>
        <v/>
      </c>
    </row>
    <row r="77" spans="2:39" x14ac:dyDescent="0.3">
      <c r="B77" s="80"/>
      <c r="C77" s="140"/>
      <c r="G77"/>
      <c r="H77"/>
      <c r="I77" s="3"/>
      <c r="J77" s="3"/>
      <c r="K77" s="11" t="e">
        <f>LAN_OP[[#This Row],[VALOR FATURADO]]/LAN_OP[[#This Row],[VALOR CONTRATO]]</f>
        <v>#DIV/0!</v>
      </c>
      <c r="L77" s="4">
        <f>LAN_OP[[#This Row],[VALOR CONTRATO]]-LAN_OP[[#This Row],[VALOR FATURADO]]</f>
        <v>0</v>
      </c>
      <c r="M77" s="11" t="e">
        <v>#DIV/0!</v>
      </c>
      <c r="N77" s="138"/>
      <c r="O77" s="138"/>
      <c r="P77" s="11"/>
      <c r="Q77" s="141"/>
      <c r="R77" s="3"/>
      <c r="S77" s="4"/>
      <c r="T77" s="8" t="str">
        <f>IFERROR(VLOOKUP(LAN_OP[[#This Row],[OP/OS]],LANC_FAT!A:M,2,0),"-")</f>
        <v>-</v>
      </c>
      <c r="U77" s="139" t="str">
        <f>IFERROR(VLOOKUP(LAN_OP[[#This Row],[OP/OS]],LANC_FAT!A:M,8,0),"-")</f>
        <v>-</v>
      </c>
      <c r="V77" s="10">
        <f>SUMIF(LANC_FAT[OP/OS],LAN_OP[[#This Row],[OP/OS]],LANC_FAT[VALOR DA NF COM IMPOSTO])</f>
        <v>0</v>
      </c>
      <c r="W77" s="3"/>
      <c r="X77" s="10">
        <f>SUMIF(LANC_COMPRA[OP/OS],LAN_OP[[#This Row],[OP/OS]],LANC_COMPRA[[VALOR ]])</f>
        <v>0</v>
      </c>
      <c r="Y77" s="10">
        <f>SUMIF(LANC_HORAS[OP/OS],LAN_OP[[#This Row],[OP/OS]],LANC_HORAS[TOTAL GERAL NORMAL])</f>
        <v>0</v>
      </c>
      <c r="Z77" s="10">
        <f>SUMIF(LANC_HORAS[OP/OS],LAN_OP[[#This Row],[OP/OS]],LANC_HORAS[TOTAL GERAL EXTRAS])</f>
        <v>0</v>
      </c>
      <c r="AA77" s="12">
        <f>SUMIF(LANC_HORAS[OP/OS],LAN_OP[[#This Row],[OP/OS]],LANC_HORAS[TOTAL H.N])</f>
        <v>0</v>
      </c>
      <c r="AB77" s="12">
        <f>SUMIF(LANC_HORAS[OP/OS],LAN_OP[[#This Row],[OP/OS]],LANC_HORAS[TOTAL H.E])</f>
        <v>0</v>
      </c>
      <c r="AC77" s="10">
        <f>SUMIF(LANC_DESPESAS[OS/OP],LAN_OP[[#This Row],[OP/OS]],LANC_DESPESAS[OBSERVAÇÕES])</f>
        <v>0</v>
      </c>
      <c r="AD77" s="3">
        <f>SUMIF(LANC_DESLOC[OS/OP],LAN_OP[[#This Row],[OP/OS]],LANC_DESLOC[ANO])</f>
        <v>0</v>
      </c>
      <c r="AE7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7" s="3">
        <f>LAN_OP[[#This Row],[TOTAL PARCIAL (M.O+MT+DESP)]]*1.08</f>
        <v>0</v>
      </c>
      <c r="AG77" s="3">
        <f>LAN_OP[[#This Row],[TOTAL PARCIAL + OUTROS CUSTOS (8%)]]*1.09</f>
        <v>0</v>
      </c>
      <c r="AH77" t="str">
        <f>IF(AND(U77&gt;=CALENDARIO!$B$2,U77&lt;=CALENDARIO!$C$2),"JANEIRO",IF(AND(U77&gt;=CALENDARIO!$B$3,U77&lt;=CALENDARIO!$C$3),"FEVEREIRO",IF(AND(U77&gt;=CALENDARIO!$B$4,U77&lt;=CALENDARIO!$C$4),"MARÇO",IF(AND(U77&gt;=CALENDARIO!$B$5,U77&lt;=CALENDARIO!$C$5),"ABRIL",IF(AND(U77&gt;=CALENDARIO!$B$6,U77&lt;=CALENDARIO!$C$6),"MAIO",IF(AND(U77&gt;=CALENDARIO!$B$7,U77&lt;=CALENDARIO!$C$7),"JUNHO",IF(AND(U77&gt;=CALENDARIO!$B$8,U77&lt;=CALENDARIO!$C$8),"JULHO",IF(AND(U77&gt;=CALENDARIO!$B$9,U77&lt;=CALENDARIO!$C$9),"AGOSTO",IF(AND(U77&gt;=CALENDARIO!$B$10,U77&lt;=CALENDARIO!$C$10),"SETEMBRO",IF(AND(U77&gt;=CALENDARIO!$B$11,U77&lt;=CALENDARIO!$C$11),"OUTUBRO",IF(AND(U77&gt;=CALENDARIO!$B$12,U77&lt;=CALENDARIO!$C$12),"NOVEMBRO",IF(AND(U77&gt;=CALENDARIO!$B$13,U77&lt;=CALENDARIO!$C$13),"DEZEMBRO","-"))))))))))))</f>
        <v>-</v>
      </c>
      <c r="AI77" s="3">
        <f>LAN_OP[[#This Row],[VALOR CONTRATO]]-LAN_OP[[#This Row],[TOTAL CUSTO (O.C + DI + MT + MO+DESP)]]</f>
        <v>0</v>
      </c>
      <c r="AJ77" s="11" t="str">
        <f>IFERROR(LAN_OP[[#This Row],[R$ (CONTRATO - CUSTOS)]]/LAN_OP[[#This Row],[VALOR CONTRATO]],"")</f>
        <v/>
      </c>
      <c r="AK77" s="3">
        <f>LAN_OP[[#This Row],[VALOR CONTRATO]]-LAN_OP[[#This Row],[VALOR FATURADO]]</f>
        <v>0</v>
      </c>
      <c r="AL77" s="3" t="str">
        <f>IF(AND(C77&gt;=CALENDARIO!$B$2,C77&lt;=CALENDARIO!$C$2),"JANEIRO",IF(AND(C77&gt;=CALENDARIO!$B$3,C77&lt;=CALENDARIO!$C$3),"FEVEREIRO",IF(AND(C77&gt;=CALENDARIO!$B$4,C77&lt;=CALENDARIO!$C$4),"MARÇO",IF(AND(C77&gt;=CALENDARIO!$B$5,C77&lt;=CALENDARIO!$C$5),"ABRIL",IF(AND(C77&gt;=CALENDARIO!$B$6,C77&lt;=CALENDARIO!$C$6),"MAIO",IF(AND(C77&gt;=CALENDARIO!$B$7,C77&lt;=CALENDARIO!$C$7),"JUNHO",IF(AND(C77&gt;=CALENDARIO!$B$8,C77&lt;=CALENDARIO!$C$8),"JULHO",IF(AND(C77&gt;=CALENDARIO!$B$9,C77&lt;=CALENDARIO!$C$9),"AGOSTO",IF(AND(C77&gt;=CALENDARIO!$B$10,C77&lt;=CALENDARIO!$C$10),"SETEMBRO",IF(AND(C77&gt;=CALENDARIO!$B$11,C77&lt;=CALENDARIO!$C$11),"OUTUBRO",IF(AND(C77&gt;=CALENDARIO!$B$12,C77&lt;=CALENDARIO!$C$12),"NOVEMBRO",IF(AND(C77&gt;=CALENDARIO!$B$13,C77&lt;=CALENDARIO!$C$13),"DEZEMBRO","-"))))))))))))</f>
        <v>-</v>
      </c>
      <c r="AM77" s="3" t="str">
        <f>RIGHT(LAN_OP[[#This Row],[OP/OS]],4)</f>
        <v/>
      </c>
    </row>
    <row r="78" spans="2:39" x14ac:dyDescent="0.3">
      <c r="B78" s="80"/>
      <c r="C78" s="140"/>
      <c r="G78"/>
      <c r="H78"/>
      <c r="I78" s="3"/>
      <c r="J78" s="3"/>
      <c r="K78" s="11" t="e">
        <f>LAN_OP[[#This Row],[VALOR FATURADO]]/LAN_OP[[#This Row],[VALOR CONTRATO]]</f>
        <v>#DIV/0!</v>
      </c>
      <c r="L78" s="4">
        <f>LAN_OP[[#This Row],[VALOR CONTRATO]]-LAN_OP[[#This Row],[VALOR FATURADO]]</f>
        <v>0</v>
      </c>
      <c r="M78" s="11" t="e">
        <v>#DIV/0!</v>
      </c>
      <c r="N78" s="138"/>
      <c r="O78" s="138"/>
      <c r="P78" s="11"/>
      <c r="Q78" s="141"/>
      <c r="R78" s="3"/>
      <c r="S78" s="4"/>
      <c r="T78" s="8" t="str">
        <f>IFERROR(VLOOKUP(LAN_OP[[#This Row],[OP/OS]],LANC_FAT!A:M,2,0),"-")</f>
        <v>-</v>
      </c>
      <c r="U78" s="139" t="str">
        <f>IFERROR(VLOOKUP(LAN_OP[[#This Row],[OP/OS]],LANC_FAT!A:M,8,0),"-")</f>
        <v>-</v>
      </c>
      <c r="V78" s="10">
        <f>SUMIF(LANC_FAT[OP/OS],LAN_OP[[#This Row],[OP/OS]],LANC_FAT[VALOR DA NF COM IMPOSTO])</f>
        <v>0</v>
      </c>
      <c r="W78" s="3"/>
      <c r="X78" s="10">
        <f>SUMIF(LANC_COMPRA[OP/OS],LAN_OP[[#This Row],[OP/OS]],LANC_COMPRA[[VALOR ]])</f>
        <v>0</v>
      </c>
      <c r="Y78" s="10">
        <f>SUMIF(LANC_HORAS[OP/OS],LAN_OP[[#This Row],[OP/OS]],LANC_HORAS[TOTAL GERAL NORMAL])</f>
        <v>0</v>
      </c>
      <c r="Z78" s="10">
        <f>SUMIF(LANC_HORAS[OP/OS],LAN_OP[[#This Row],[OP/OS]],LANC_HORAS[TOTAL GERAL EXTRAS])</f>
        <v>0</v>
      </c>
      <c r="AA78" s="12">
        <f>SUMIF(LANC_HORAS[OP/OS],LAN_OP[[#This Row],[OP/OS]],LANC_HORAS[TOTAL H.N])</f>
        <v>0</v>
      </c>
      <c r="AB78" s="12">
        <f>SUMIF(LANC_HORAS[OP/OS],LAN_OP[[#This Row],[OP/OS]],LANC_HORAS[TOTAL H.E])</f>
        <v>0</v>
      </c>
      <c r="AC78" s="10">
        <f>SUMIF(LANC_DESPESAS[OS/OP],LAN_OP[[#This Row],[OP/OS]],LANC_DESPESAS[OBSERVAÇÕES])</f>
        <v>0</v>
      </c>
      <c r="AD78" s="3">
        <f>SUMIF(LANC_DESLOC[OS/OP],LAN_OP[[#This Row],[OP/OS]],LANC_DESLOC[ANO])</f>
        <v>0</v>
      </c>
      <c r="AE7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8" s="3">
        <f>LAN_OP[[#This Row],[TOTAL PARCIAL (M.O+MT+DESP)]]*1.08</f>
        <v>0</v>
      </c>
      <c r="AG78" s="3">
        <f>LAN_OP[[#This Row],[TOTAL PARCIAL + OUTROS CUSTOS (8%)]]*1.09</f>
        <v>0</v>
      </c>
      <c r="AH78" t="str">
        <f>IF(AND(U78&gt;=CALENDARIO!$B$2,U78&lt;=CALENDARIO!$C$2),"JANEIRO",IF(AND(U78&gt;=CALENDARIO!$B$3,U78&lt;=CALENDARIO!$C$3),"FEVEREIRO",IF(AND(U78&gt;=CALENDARIO!$B$4,U78&lt;=CALENDARIO!$C$4),"MARÇO",IF(AND(U78&gt;=CALENDARIO!$B$5,U78&lt;=CALENDARIO!$C$5),"ABRIL",IF(AND(U78&gt;=CALENDARIO!$B$6,U78&lt;=CALENDARIO!$C$6),"MAIO",IF(AND(U78&gt;=CALENDARIO!$B$7,U78&lt;=CALENDARIO!$C$7),"JUNHO",IF(AND(U78&gt;=CALENDARIO!$B$8,U78&lt;=CALENDARIO!$C$8),"JULHO",IF(AND(U78&gt;=CALENDARIO!$B$9,U78&lt;=CALENDARIO!$C$9),"AGOSTO",IF(AND(U78&gt;=CALENDARIO!$B$10,U78&lt;=CALENDARIO!$C$10),"SETEMBRO",IF(AND(U78&gt;=CALENDARIO!$B$11,U78&lt;=CALENDARIO!$C$11),"OUTUBRO",IF(AND(U78&gt;=CALENDARIO!$B$12,U78&lt;=CALENDARIO!$C$12),"NOVEMBRO",IF(AND(U78&gt;=CALENDARIO!$B$13,U78&lt;=CALENDARIO!$C$13),"DEZEMBRO","-"))))))))))))</f>
        <v>-</v>
      </c>
      <c r="AI78" s="3">
        <f>LAN_OP[[#This Row],[VALOR CONTRATO]]-LAN_OP[[#This Row],[TOTAL CUSTO (O.C + DI + MT + MO+DESP)]]</f>
        <v>0</v>
      </c>
      <c r="AJ78" s="11" t="str">
        <f>IFERROR(LAN_OP[[#This Row],[R$ (CONTRATO - CUSTOS)]]/LAN_OP[[#This Row],[VALOR CONTRATO]],"")</f>
        <v/>
      </c>
      <c r="AK78" s="3">
        <f>LAN_OP[[#This Row],[VALOR CONTRATO]]-LAN_OP[[#This Row],[VALOR FATURADO]]</f>
        <v>0</v>
      </c>
      <c r="AL78" s="3" t="str">
        <f>IF(AND(C78&gt;=CALENDARIO!$B$2,C78&lt;=CALENDARIO!$C$2),"JANEIRO",IF(AND(C78&gt;=CALENDARIO!$B$3,C78&lt;=CALENDARIO!$C$3),"FEVEREIRO",IF(AND(C78&gt;=CALENDARIO!$B$4,C78&lt;=CALENDARIO!$C$4),"MARÇO",IF(AND(C78&gt;=CALENDARIO!$B$5,C78&lt;=CALENDARIO!$C$5),"ABRIL",IF(AND(C78&gt;=CALENDARIO!$B$6,C78&lt;=CALENDARIO!$C$6),"MAIO",IF(AND(C78&gt;=CALENDARIO!$B$7,C78&lt;=CALENDARIO!$C$7),"JUNHO",IF(AND(C78&gt;=CALENDARIO!$B$8,C78&lt;=CALENDARIO!$C$8),"JULHO",IF(AND(C78&gt;=CALENDARIO!$B$9,C78&lt;=CALENDARIO!$C$9),"AGOSTO",IF(AND(C78&gt;=CALENDARIO!$B$10,C78&lt;=CALENDARIO!$C$10),"SETEMBRO",IF(AND(C78&gt;=CALENDARIO!$B$11,C78&lt;=CALENDARIO!$C$11),"OUTUBRO",IF(AND(C78&gt;=CALENDARIO!$B$12,C78&lt;=CALENDARIO!$C$12),"NOVEMBRO",IF(AND(C78&gt;=CALENDARIO!$B$13,C78&lt;=CALENDARIO!$C$13),"DEZEMBRO","-"))))))))))))</f>
        <v>-</v>
      </c>
      <c r="AM78" s="3" t="str">
        <f>RIGHT(LAN_OP[[#This Row],[OP/OS]],4)</f>
        <v/>
      </c>
    </row>
    <row r="79" spans="2:39" x14ac:dyDescent="0.3">
      <c r="B79" s="80"/>
      <c r="C79" s="140"/>
      <c r="G79"/>
      <c r="H79"/>
      <c r="I79" s="3"/>
      <c r="J79" s="3"/>
      <c r="K79" s="11" t="e">
        <f>LAN_OP[[#This Row],[VALOR FATURADO]]/LAN_OP[[#This Row],[VALOR CONTRATO]]</f>
        <v>#DIV/0!</v>
      </c>
      <c r="L79" s="4">
        <f>LAN_OP[[#This Row],[VALOR CONTRATO]]-LAN_OP[[#This Row],[VALOR FATURADO]]</f>
        <v>0</v>
      </c>
      <c r="M79" s="11" t="e">
        <v>#DIV/0!</v>
      </c>
      <c r="N79" s="138"/>
      <c r="O79" s="138"/>
      <c r="P79" s="11"/>
      <c r="Q79" s="141"/>
      <c r="R79" s="3"/>
      <c r="S79" s="4"/>
      <c r="T79" s="8" t="str">
        <f>IFERROR(VLOOKUP(LAN_OP[[#This Row],[OP/OS]],LANC_FAT!A:M,2,0),"-")</f>
        <v>-</v>
      </c>
      <c r="U79" s="139" t="str">
        <f>IFERROR(VLOOKUP(LAN_OP[[#This Row],[OP/OS]],LANC_FAT!A:M,8,0),"-")</f>
        <v>-</v>
      </c>
      <c r="V79" s="10">
        <f>SUMIF(LANC_FAT[OP/OS],LAN_OP[[#This Row],[OP/OS]],LANC_FAT[VALOR DA NF COM IMPOSTO])</f>
        <v>0</v>
      </c>
      <c r="W79" s="3"/>
      <c r="X79" s="10">
        <f>SUMIF(LANC_COMPRA[OP/OS],LAN_OP[[#This Row],[OP/OS]],LANC_COMPRA[[VALOR ]])</f>
        <v>0</v>
      </c>
      <c r="Y79" s="10">
        <f>SUMIF(LANC_HORAS[OP/OS],LAN_OP[[#This Row],[OP/OS]],LANC_HORAS[TOTAL GERAL NORMAL])</f>
        <v>0</v>
      </c>
      <c r="Z79" s="10">
        <f>SUMIF(LANC_HORAS[OP/OS],LAN_OP[[#This Row],[OP/OS]],LANC_HORAS[TOTAL GERAL EXTRAS])</f>
        <v>0</v>
      </c>
      <c r="AA79" s="12">
        <f>SUMIF(LANC_HORAS[OP/OS],LAN_OP[[#This Row],[OP/OS]],LANC_HORAS[TOTAL H.N])</f>
        <v>0</v>
      </c>
      <c r="AB79" s="12">
        <f>SUMIF(LANC_HORAS[OP/OS],LAN_OP[[#This Row],[OP/OS]],LANC_HORAS[TOTAL H.E])</f>
        <v>0</v>
      </c>
      <c r="AC79" s="10">
        <f>SUMIF(LANC_DESPESAS[OS/OP],LAN_OP[[#This Row],[OP/OS]],LANC_DESPESAS[OBSERVAÇÕES])</f>
        <v>0</v>
      </c>
      <c r="AD79" s="3">
        <f>SUMIF(LANC_DESLOC[OS/OP],LAN_OP[[#This Row],[OP/OS]],LANC_DESLOC[ANO])</f>
        <v>0</v>
      </c>
      <c r="AE7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79" s="3">
        <f>LAN_OP[[#This Row],[TOTAL PARCIAL (M.O+MT+DESP)]]*1.08</f>
        <v>0</v>
      </c>
      <c r="AG79" s="3">
        <f>LAN_OP[[#This Row],[TOTAL PARCIAL + OUTROS CUSTOS (8%)]]*1.09</f>
        <v>0</v>
      </c>
      <c r="AH79" t="str">
        <f>IF(AND(U79&gt;=CALENDARIO!$B$2,U79&lt;=CALENDARIO!$C$2),"JANEIRO",IF(AND(U79&gt;=CALENDARIO!$B$3,U79&lt;=CALENDARIO!$C$3),"FEVEREIRO",IF(AND(U79&gt;=CALENDARIO!$B$4,U79&lt;=CALENDARIO!$C$4),"MARÇO",IF(AND(U79&gt;=CALENDARIO!$B$5,U79&lt;=CALENDARIO!$C$5),"ABRIL",IF(AND(U79&gt;=CALENDARIO!$B$6,U79&lt;=CALENDARIO!$C$6),"MAIO",IF(AND(U79&gt;=CALENDARIO!$B$7,U79&lt;=CALENDARIO!$C$7),"JUNHO",IF(AND(U79&gt;=CALENDARIO!$B$8,U79&lt;=CALENDARIO!$C$8),"JULHO",IF(AND(U79&gt;=CALENDARIO!$B$9,U79&lt;=CALENDARIO!$C$9),"AGOSTO",IF(AND(U79&gt;=CALENDARIO!$B$10,U79&lt;=CALENDARIO!$C$10),"SETEMBRO",IF(AND(U79&gt;=CALENDARIO!$B$11,U79&lt;=CALENDARIO!$C$11),"OUTUBRO",IF(AND(U79&gt;=CALENDARIO!$B$12,U79&lt;=CALENDARIO!$C$12),"NOVEMBRO",IF(AND(U79&gt;=CALENDARIO!$B$13,U79&lt;=CALENDARIO!$C$13),"DEZEMBRO","-"))))))))))))</f>
        <v>-</v>
      </c>
      <c r="AI79" s="3">
        <f>LAN_OP[[#This Row],[VALOR CONTRATO]]-LAN_OP[[#This Row],[TOTAL CUSTO (O.C + DI + MT + MO+DESP)]]</f>
        <v>0</v>
      </c>
      <c r="AJ79" s="11" t="str">
        <f>IFERROR(LAN_OP[[#This Row],[R$ (CONTRATO - CUSTOS)]]/LAN_OP[[#This Row],[VALOR CONTRATO]],"")</f>
        <v/>
      </c>
      <c r="AK79" s="3">
        <f>LAN_OP[[#This Row],[VALOR CONTRATO]]-LAN_OP[[#This Row],[VALOR FATURADO]]</f>
        <v>0</v>
      </c>
      <c r="AL79" s="3" t="str">
        <f>IF(AND(C79&gt;=CALENDARIO!$B$2,C79&lt;=CALENDARIO!$C$2),"JANEIRO",IF(AND(C79&gt;=CALENDARIO!$B$3,C79&lt;=CALENDARIO!$C$3),"FEVEREIRO",IF(AND(C79&gt;=CALENDARIO!$B$4,C79&lt;=CALENDARIO!$C$4),"MARÇO",IF(AND(C79&gt;=CALENDARIO!$B$5,C79&lt;=CALENDARIO!$C$5),"ABRIL",IF(AND(C79&gt;=CALENDARIO!$B$6,C79&lt;=CALENDARIO!$C$6),"MAIO",IF(AND(C79&gt;=CALENDARIO!$B$7,C79&lt;=CALENDARIO!$C$7),"JUNHO",IF(AND(C79&gt;=CALENDARIO!$B$8,C79&lt;=CALENDARIO!$C$8),"JULHO",IF(AND(C79&gt;=CALENDARIO!$B$9,C79&lt;=CALENDARIO!$C$9),"AGOSTO",IF(AND(C79&gt;=CALENDARIO!$B$10,C79&lt;=CALENDARIO!$C$10),"SETEMBRO",IF(AND(C79&gt;=CALENDARIO!$B$11,C79&lt;=CALENDARIO!$C$11),"OUTUBRO",IF(AND(C79&gt;=CALENDARIO!$B$12,C79&lt;=CALENDARIO!$C$12),"NOVEMBRO",IF(AND(C79&gt;=CALENDARIO!$B$13,C79&lt;=CALENDARIO!$C$13),"DEZEMBRO","-"))))))))))))</f>
        <v>-</v>
      </c>
      <c r="AM79" s="3" t="str">
        <f>RIGHT(LAN_OP[[#This Row],[OP/OS]],4)</f>
        <v/>
      </c>
    </row>
    <row r="80" spans="2:39" x14ac:dyDescent="0.3">
      <c r="B80" s="80"/>
      <c r="C80" s="140"/>
      <c r="G80"/>
      <c r="H80"/>
      <c r="I80" s="3"/>
      <c r="J80" s="3"/>
      <c r="K80" s="11" t="e">
        <f>LAN_OP[[#This Row],[VALOR FATURADO]]/LAN_OP[[#This Row],[VALOR CONTRATO]]</f>
        <v>#DIV/0!</v>
      </c>
      <c r="L80" s="4">
        <f>LAN_OP[[#This Row],[VALOR CONTRATO]]-LAN_OP[[#This Row],[VALOR FATURADO]]</f>
        <v>0</v>
      </c>
      <c r="M80" s="11" t="e">
        <v>#DIV/0!</v>
      </c>
      <c r="N80" s="138"/>
      <c r="O80" s="138"/>
      <c r="P80" s="11"/>
      <c r="Q80" s="141"/>
      <c r="R80" s="3"/>
      <c r="S80" s="4"/>
      <c r="T80" s="8" t="str">
        <f>IFERROR(VLOOKUP(LAN_OP[[#This Row],[OP/OS]],LANC_FAT!A:M,2,0),"-")</f>
        <v>-</v>
      </c>
      <c r="U80" s="139" t="str">
        <f>IFERROR(VLOOKUP(LAN_OP[[#This Row],[OP/OS]],LANC_FAT!A:M,8,0),"-")</f>
        <v>-</v>
      </c>
      <c r="V80" s="10">
        <f>SUMIF(LANC_FAT[OP/OS],LAN_OP[[#This Row],[OP/OS]],LANC_FAT[VALOR DA NF COM IMPOSTO])</f>
        <v>0</v>
      </c>
      <c r="W80" s="3"/>
      <c r="X80" s="10">
        <f>SUMIF(LANC_COMPRA[OP/OS],LAN_OP[[#This Row],[OP/OS]],LANC_COMPRA[[VALOR ]])</f>
        <v>0</v>
      </c>
      <c r="Y80" s="10">
        <f>SUMIF(LANC_HORAS[OP/OS],LAN_OP[[#This Row],[OP/OS]],LANC_HORAS[TOTAL GERAL NORMAL])</f>
        <v>0</v>
      </c>
      <c r="Z80" s="10">
        <f>SUMIF(LANC_HORAS[OP/OS],LAN_OP[[#This Row],[OP/OS]],LANC_HORAS[TOTAL GERAL EXTRAS])</f>
        <v>0</v>
      </c>
      <c r="AA80" s="12">
        <f>SUMIF(LANC_HORAS[OP/OS],LAN_OP[[#This Row],[OP/OS]],LANC_HORAS[TOTAL H.N])</f>
        <v>0</v>
      </c>
      <c r="AB80" s="12">
        <f>SUMIF(LANC_HORAS[OP/OS],LAN_OP[[#This Row],[OP/OS]],LANC_HORAS[TOTAL H.E])</f>
        <v>0</v>
      </c>
      <c r="AC80" s="10">
        <f>SUMIF(LANC_DESPESAS[OS/OP],LAN_OP[[#This Row],[OP/OS]],LANC_DESPESAS[OBSERVAÇÕES])</f>
        <v>0</v>
      </c>
      <c r="AD80" s="3">
        <f>SUMIF(LANC_DESLOC[OS/OP],LAN_OP[[#This Row],[OP/OS]],LANC_DESLOC[ANO])</f>
        <v>0</v>
      </c>
      <c r="AE8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0" s="3">
        <f>LAN_OP[[#This Row],[TOTAL PARCIAL (M.O+MT+DESP)]]*1.08</f>
        <v>0</v>
      </c>
      <c r="AG80" s="3">
        <f>LAN_OP[[#This Row],[TOTAL PARCIAL + OUTROS CUSTOS (8%)]]*1.09</f>
        <v>0</v>
      </c>
      <c r="AH80" t="str">
        <f>IF(AND(U80&gt;=CALENDARIO!$B$2,U80&lt;=CALENDARIO!$C$2),"JANEIRO",IF(AND(U80&gt;=CALENDARIO!$B$3,U80&lt;=CALENDARIO!$C$3),"FEVEREIRO",IF(AND(U80&gt;=CALENDARIO!$B$4,U80&lt;=CALENDARIO!$C$4),"MARÇO",IF(AND(U80&gt;=CALENDARIO!$B$5,U80&lt;=CALENDARIO!$C$5),"ABRIL",IF(AND(U80&gt;=CALENDARIO!$B$6,U80&lt;=CALENDARIO!$C$6),"MAIO",IF(AND(U80&gt;=CALENDARIO!$B$7,U80&lt;=CALENDARIO!$C$7),"JUNHO",IF(AND(U80&gt;=CALENDARIO!$B$8,U80&lt;=CALENDARIO!$C$8),"JULHO",IF(AND(U80&gt;=CALENDARIO!$B$9,U80&lt;=CALENDARIO!$C$9),"AGOSTO",IF(AND(U80&gt;=CALENDARIO!$B$10,U80&lt;=CALENDARIO!$C$10),"SETEMBRO",IF(AND(U80&gt;=CALENDARIO!$B$11,U80&lt;=CALENDARIO!$C$11),"OUTUBRO",IF(AND(U80&gt;=CALENDARIO!$B$12,U80&lt;=CALENDARIO!$C$12),"NOVEMBRO",IF(AND(U80&gt;=CALENDARIO!$B$13,U80&lt;=CALENDARIO!$C$13),"DEZEMBRO","-"))))))))))))</f>
        <v>-</v>
      </c>
      <c r="AI80" s="3">
        <f>LAN_OP[[#This Row],[VALOR CONTRATO]]-LAN_OP[[#This Row],[TOTAL CUSTO (O.C + DI + MT + MO+DESP)]]</f>
        <v>0</v>
      </c>
      <c r="AJ80" s="11" t="str">
        <f>IFERROR(LAN_OP[[#This Row],[R$ (CONTRATO - CUSTOS)]]/LAN_OP[[#This Row],[VALOR CONTRATO]],"")</f>
        <v/>
      </c>
      <c r="AK80" s="3">
        <f>LAN_OP[[#This Row],[VALOR CONTRATO]]-LAN_OP[[#This Row],[VALOR FATURADO]]</f>
        <v>0</v>
      </c>
      <c r="AL80" s="3" t="str">
        <f>IF(AND(C80&gt;=CALENDARIO!$B$2,C80&lt;=CALENDARIO!$C$2),"JANEIRO",IF(AND(C80&gt;=CALENDARIO!$B$3,C80&lt;=CALENDARIO!$C$3),"FEVEREIRO",IF(AND(C80&gt;=CALENDARIO!$B$4,C80&lt;=CALENDARIO!$C$4),"MARÇO",IF(AND(C80&gt;=CALENDARIO!$B$5,C80&lt;=CALENDARIO!$C$5),"ABRIL",IF(AND(C80&gt;=CALENDARIO!$B$6,C80&lt;=CALENDARIO!$C$6),"MAIO",IF(AND(C80&gt;=CALENDARIO!$B$7,C80&lt;=CALENDARIO!$C$7),"JUNHO",IF(AND(C80&gt;=CALENDARIO!$B$8,C80&lt;=CALENDARIO!$C$8),"JULHO",IF(AND(C80&gt;=CALENDARIO!$B$9,C80&lt;=CALENDARIO!$C$9),"AGOSTO",IF(AND(C80&gt;=CALENDARIO!$B$10,C80&lt;=CALENDARIO!$C$10),"SETEMBRO",IF(AND(C80&gt;=CALENDARIO!$B$11,C80&lt;=CALENDARIO!$C$11),"OUTUBRO",IF(AND(C80&gt;=CALENDARIO!$B$12,C80&lt;=CALENDARIO!$C$12),"NOVEMBRO",IF(AND(C80&gt;=CALENDARIO!$B$13,C80&lt;=CALENDARIO!$C$13),"DEZEMBRO","-"))))))))))))</f>
        <v>-</v>
      </c>
      <c r="AM80" s="3" t="str">
        <f>RIGHT(LAN_OP[[#This Row],[OP/OS]],4)</f>
        <v/>
      </c>
    </row>
    <row r="81" spans="2:39" x14ac:dyDescent="0.3">
      <c r="B81" s="80"/>
      <c r="C81" s="140"/>
      <c r="G81"/>
      <c r="H81"/>
      <c r="I81" s="3"/>
      <c r="J81" s="3"/>
      <c r="K81" s="11" t="e">
        <f>LAN_OP[[#This Row],[VALOR FATURADO]]/LAN_OP[[#This Row],[VALOR CONTRATO]]</f>
        <v>#DIV/0!</v>
      </c>
      <c r="L81" s="4">
        <f>LAN_OP[[#This Row],[VALOR CONTRATO]]-LAN_OP[[#This Row],[VALOR FATURADO]]</f>
        <v>0</v>
      </c>
      <c r="M81" s="11" t="e">
        <v>#DIV/0!</v>
      </c>
      <c r="N81" s="138"/>
      <c r="O81" s="138"/>
      <c r="P81" s="11"/>
      <c r="Q81" s="141"/>
      <c r="R81" s="3"/>
      <c r="S81" s="4"/>
      <c r="T81" s="8" t="str">
        <f>IFERROR(VLOOKUP(LAN_OP[[#This Row],[OP/OS]],LANC_FAT!A:M,2,0),"-")</f>
        <v>-</v>
      </c>
      <c r="U81" s="139" t="str">
        <f>IFERROR(VLOOKUP(LAN_OP[[#This Row],[OP/OS]],LANC_FAT!A:M,8,0),"-")</f>
        <v>-</v>
      </c>
      <c r="V81" s="10">
        <f>SUMIF(LANC_FAT[OP/OS],LAN_OP[[#This Row],[OP/OS]],LANC_FAT[VALOR DA NF COM IMPOSTO])</f>
        <v>0</v>
      </c>
      <c r="W81" s="3"/>
      <c r="X81" s="10">
        <f>SUMIF(LANC_COMPRA[OP/OS],LAN_OP[[#This Row],[OP/OS]],LANC_COMPRA[[VALOR ]])</f>
        <v>0</v>
      </c>
      <c r="Y81" s="10">
        <f>SUMIF(LANC_HORAS[OP/OS],LAN_OP[[#This Row],[OP/OS]],LANC_HORAS[TOTAL GERAL NORMAL])</f>
        <v>0</v>
      </c>
      <c r="Z81" s="10">
        <f>SUMIF(LANC_HORAS[OP/OS],LAN_OP[[#This Row],[OP/OS]],LANC_HORAS[TOTAL GERAL EXTRAS])</f>
        <v>0</v>
      </c>
      <c r="AA81" s="12">
        <f>SUMIF(LANC_HORAS[OP/OS],LAN_OP[[#This Row],[OP/OS]],LANC_HORAS[TOTAL H.N])</f>
        <v>0</v>
      </c>
      <c r="AB81" s="12">
        <f>SUMIF(LANC_HORAS[OP/OS],LAN_OP[[#This Row],[OP/OS]],LANC_HORAS[TOTAL H.E])</f>
        <v>0</v>
      </c>
      <c r="AC81" s="10">
        <f>SUMIF(LANC_DESPESAS[OS/OP],LAN_OP[[#This Row],[OP/OS]],LANC_DESPESAS[OBSERVAÇÕES])</f>
        <v>0</v>
      </c>
      <c r="AD81" s="3">
        <f>SUMIF(LANC_DESLOC[OS/OP],LAN_OP[[#This Row],[OP/OS]],LANC_DESLOC[ANO])</f>
        <v>0</v>
      </c>
      <c r="AE8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1" s="3">
        <f>LAN_OP[[#This Row],[TOTAL PARCIAL (M.O+MT+DESP)]]*1.08</f>
        <v>0</v>
      </c>
      <c r="AG81" s="3">
        <f>LAN_OP[[#This Row],[TOTAL PARCIAL + OUTROS CUSTOS (8%)]]*1.09</f>
        <v>0</v>
      </c>
      <c r="AH81" t="str">
        <f>IF(AND(U81&gt;=CALENDARIO!$B$2,U81&lt;=CALENDARIO!$C$2),"JANEIRO",IF(AND(U81&gt;=CALENDARIO!$B$3,U81&lt;=CALENDARIO!$C$3),"FEVEREIRO",IF(AND(U81&gt;=CALENDARIO!$B$4,U81&lt;=CALENDARIO!$C$4),"MARÇO",IF(AND(U81&gt;=CALENDARIO!$B$5,U81&lt;=CALENDARIO!$C$5),"ABRIL",IF(AND(U81&gt;=CALENDARIO!$B$6,U81&lt;=CALENDARIO!$C$6),"MAIO",IF(AND(U81&gt;=CALENDARIO!$B$7,U81&lt;=CALENDARIO!$C$7),"JUNHO",IF(AND(U81&gt;=CALENDARIO!$B$8,U81&lt;=CALENDARIO!$C$8),"JULHO",IF(AND(U81&gt;=CALENDARIO!$B$9,U81&lt;=CALENDARIO!$C$9),"AGOSTO",IF(AND(U81&gt;=CALENDARIO!$B$10,U81&lt;=CALENDARIO!$C$10),"SETEMBRO",IF(AND(U81&gt;=CALENDARIO!$B$11,U81&lt;=CALENDARIO!$C$11),"OUTUBRO",IF(AND(U81&gt;=CALENDARIO!$B$12,U81&lt;=CALENDARIO!$C$12),"NOVEMBRO",IF(AND(U81&gt;=CALENDARIO!$B$13,U81&lt;=CALENDARIO!$C$13),"DEZEMBRO","-"))))))))))))</f>
        <v>-</v>
      </c>
      <c r="AI81" s="3">
        <f>LAN_OP[[#This Row],[VALOR CONTRATO]]-LAN_OP[[#This Row],[TOTAL CUSTO (O.C + DI + MT + MO+DESP)]]</f>
        <v>0</v>
      </c>
      <c r="AJ81" s="11" t="str">
        <f>IFERROR(LAN_OP[[#This Row],[R$ (CONTRATO - CUSTOS)]]/LAN_OP[[#This Row],[VALOR CONTRATO]],"")</f>
        <v/>
      </c>
      <c r="AK81" s="3">
        <f>LAN_OP[[#This Row],[VALOR CONTRATO]]-LAN_OP[[#This Row],[VALOR FATURADO]]</f>
        <v>0</v>
      </c>
      <c r="AL81" s="3" t="str">
        <f>IF(AND(C81&gt;=CALENDARIO!$B$2,C81&lt;=CALENDARIO!$C$2),"JANEIRO",IF(AND(C81&gt;=CALENDARIO!$B$3,C81&lt;=CALENDARIO!$C$3),"FEVEREIRO",IF(AND(C81&gt;=CALENDARIO!$B$4,C81&lt;=CALENDARIO!$C$4),"MARÇO",IF(AND(C81&gt;=CALENDARIO!$B$5,C81&lt;=CALENDARIO!$C$5),"ABRIL",IF(AND(C81&gt;=CALENDARIO!$B$6,C81&lt;=CALENDARIO!$C$6),"MAIO",IF(AND(C81&gt;=CALENDARIO!$B$7,C81&lt;=CALENDARIO!$C$7),"JUNHO",IF(AND(C81&gt;=CALENDARIO!$B$8,C81&lt;=CALENDARIO!$C$8),"JULHO",IF(AND(C81&gt;=CALENDARIO!$B$9,C81&lt;=CALENDARIO!$C$9),"AGOSTO",IF(AND(C81&gt;=CALENDARIO!$B$10,C81&lt;=CALENDARIO!$C$10),"SETEMBRO",IF(AND(C81&gt;=CALENDARIO!$B$11,C81&lt;=CALENDARIO!$C$11),"OUTUBRO",IF(AND(C81&gt;=CALENDARIO!$B$12,C81&lt;=CALENDARIO!$C$12),"NOVEMBRO",IF(AND(C81&gt;=CALENDARIO!$B$13,C81&lt;=CALENDARIO!$C$13),"DEZEMBRO","-"))))))))))))</f>
        <v>-</v>
      </c>
      <c r="AM81" s="3" t="str">
        <f>RIGHT(LAN_OP[[#This Row],[OP/OS]],4)</f>
        <v/>
      </c>
    </row>
    <row r="82" spans="2:39" x14ac:dyDescent="0.3">
      <c r="B82" s="80"/>
      <c r="C82" s="140"/>
      <c r="G82"/>
      <c r="H82"/>
      <c r="I82" s="3"/>
      <c r="J82" s="3"/>
      <c r="K82" s="11" t="e">
        <f>LAN_OP[[#This Row],[VALOR FATURADO]]/LAN_OP[[#This Row],[VALOR CONTRATO]]</f>
        <v>#DIV/0!</v>
      </c>
      <c r="L82" s="4">
        <f>LAN_OP[[#This Row],[VALOR CONTRATO]]-LAN_OP[[#This Row],[VALOR FATURADO]]</f>
        <v>0</v>
      </c>
      <c r="M82" s="11" t="e">
        <v>#DIV/0!</v>
      </c>
      <c r="N82" s="138"/>
      <c r="O82" s="138"/>
      <c r="P82" s="11"/>
      <c r="Q82" s="141"/>
      <c r="R82" s="3"/>
      <c r="S82" s="4"/>
      <c r="T82" s="8" t="str">
        <f>IFERROR(VLOOKUP(LAN_OP[[#This Row],[OP/OS]],LANC_FAT!A:M,2,0),"-")</f>
        <v>-</v>
      </c>
      <c r="U82" s="139" t="str">
        <f>IFERROR(VLOOKUP(LAN_OP[[#This Row],[OP/OS]],LANC_FAT!A:M,8,0),"-")</f>
        <v>-</v>
      </c>
      <c r="V82" s="10">
        <f>SUMIF(LANC_FAT[OP/OS],LAN_OP[[#This Row],[OP/OS]],LANC_FAT[VALOR DA NF COM IMPOSTO])</f>
        <v>0</v>
      </c>
      <c r="W82" s="3"/>
      <c r="X82" s="10">
        <f>SUMIF(LANC_COMPRA[OP/OS],LAN_OP[[#This Row],[OP/OS]],LANC_COMPRA[[VALOR ]])</f>
        <v>0</v>
      </c>
      <c r="Y82" s="10">
        <f>SUMIF(LANC_HORAS[OP/OS],LAN_OP[[#This Row],[OP/OS]],LANC_HORAS[TOTAL GERAL NORMAL])</f>
        <v>0</v>
      </c>
      <c r="Z82" s="10">
        <f>SUMIF(LANC_HORAS[OP/OS],LAN_OP[[#This Row],[OP/OS]],LANC_HORAS[TOTAL GERAL EXTRAS])</f>
        <v>0</v>
      </c>
      <c r="AA82" s="12">
        <f>SUMIF(LANC_HORAS[OP/OS],LAN_OP[[#This Row],[OP/OS]],LANC_HORAS[TOTAL H.N])</f>
        <v>0</v>
      </c>
      <c r="AB82" s="12">
        <f>SUMIF(LANC_HORAS[OP/OS],LAN_OP[[#This Row],[OP/OS]],LANC_HORAS[TOTAL H.E])</f>
        <v>0</v>
      </c>
      <c r="AC82" s="10">
        <f>SUMIF(LANC_DESPESAS[OS/OP],LAN_OP[[#This Row],[OP/OS]],LANC_DESPESAS[OBSERVAÇÕES])</f>
        <v>0</v>
      </c>
      <c r="AD82" s="3">
        <f>SUMIF(LANC_DESLOC[OS/OP],LAN_OP[[#This Row],[OP/OS]],LANC_DESLOC[ANO])</f>
        <v>0</v>
      </c>
      <c r="AE8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2" s="3">
        <f>LAN_OP[[#This Row],[TOTAL PARCIAL (M.O+MT+DESP)]]*1.08</f>
        <v>0</v>
      </c>
      <c r="AG82" s="3">
        <f>LAN_OP[[#This Row],[TOTAL PARCIAL + OUTROS CUSTOS (8%)]]*1.09</f>
        <v>0</v>
      </c>
      <c r="AH82" t="str">
        <f>IF(AND(U82&gt;=CALENDARIO!$B$2,U82&lt;=CALENDARIO!$C$2),"JANEIRO",IF(AND(U82&gt;=CALENDARIO!$B$3,U82&lt;=CALENDARIO!$C$3),"FEVEREIRO",IF(AND(U82&gt;=CALENDARIO!$B$4,U82&lt;=CALENDARIO!$C$4),"MARÇO",IF(AND(U82&gt;=CALENDARIO!$B$5,U82&lt;=CALENDARIO!$C$5),"ABRIL",IF(AND(U82&gt;=CALENDARIO!$B$6,U82&lt;=CALENDARIO!$C$6),"MAIO",IF(AND(U82&gt;=CALENDARIO!$B$7,U82&lt;=CALENDARIO!$C$7),"JUNHO",IF(AND(U82&gt;=CALENDARIO!$B$8,U82&lt;=CALENDARIO!$C$8),"JULHO",IF(AND(U82&gt;=CALENDARIO!$B$9,U82&lt;=CALENDARIO!$C$9),"AGOSTO",IF(AND(U82&gt;=CALENDARIO!$B$10,U82&lt;=CALENDARIO!$C$10),"SETEMBRO",IF(AND(U82&gt;=CALENDARIO!$B$11,U82&lt;=CALENDARIO!$C$11),"OUTUBRO",IF(AND(U82&gt;=CALENDARIO!$B$12,U82&lt;=CALENDARIO!$C$12),"NOVEMBRO",IF(AND(U82&gt;=CALENDARIO!$B$13,U82&lt;=CALENDARIO!$C$13),"DEZEMBRO","-"))))))))))))</f>
        <v>-</v>
      </c>
      <c r="AI82" s="3">
        <f>LAN_OP[[#This Row],[VALOR CONTRATO]]-LAN_OP[[#This Row],[TOTAL CUSTO (O.C + DI + MT + MO+DESP)]]</f>
        <v>0</v>
      </c>
      <c r="AJ82" s="11" t="str">
        <f>IFERROR(LAN_OP[[#This Row],[R$ (CONTRATO - CUSTOS)]]/LAN_OP[[#This Row],[VALOR CONTRATO]],"")</f>
        <v/>
      </c>
      <c r="AK82" s="3">
        <f>LAN_OP[[#This Row],[VALOR CONTRATO]]-LAN_OP[[#This Row],[VALOR FATURADO]]</f>
        <v>0</v>
      </c>
      <c r="AL82" s="3" t="str">
        <f>IF(AND(C82&gt;=CALENDARIO!$B$2,C82&lt;=CALENDARIO!$C$2),"JANEIRO",IF(AND(C82&gt;=CALENDARIO!$B$3,C82&lt;=CALENDARIO!$C$3),"FEVEREIRO",IF(AND(C82&gt;=CALENDARIO!$B$4,C82&lt;=CALENDARIO!$C$4),"MARÇO",IF(AND(C82&gt;=CALENDARIO!$B$5,C82&lt;=CALENDARIO!$C$5),"ABRIL",IF(AND(C82&gt;=CALENDARIO!$B$6,C82&lt;=CALENDARIO!$C$6),"MAIO",IF(AND(C82&gt;=CALENDARIO!$B$7,C82&lt;=CALENDARIO!$C$7),"JUNHO",IF(AND(C82&gt;=CALENDARIO!$B$8,C82&lt;=CALENDARIO!$C$8),"JULHO",IF(AND(C82&gt;=CALENDARIO!$B$9,C82&lt;=CALENDARIO!$C$9),"AGOSTO",IF(AND(C82&gt;=CALENDARIO!$B$10,C82&lt;=CALENDARIO!$C$10),"SETEMBRO",IF(AND(C82&gt;=CALENDARIO!$B$11,C82&lt;=CALENDARIO!$C$11),"OUTUBRO",IF(AND(C82&gt;=CALENDARIO!$B$12,C82&lt;=CALENDARIO!$C$12),"NOVEMBRO",IF(AND(C82&gt;=CALENDARIO!$B$13,C82&lt;=CALENDARIO!$C$13),"DEZEMBRO","-"))))))))))))</f>
        <v>-</v>
      </c>
      <c r="AM82" s="3" t="str">
        <f>RIGHT(LAN_OP[[#This Row],[OP/OS]],4)</f>
        <v/>
      </c>
    </row>
    <row r="83" spans="2:39" x14ac:dyDescent="0.3">
      <c r="B83" s="80"/>
      <c r="C83" s="140"/>
      <c r="G83"/>
      <c r="H83"/>
      <c r="I83" s="3"/>
      <c r="J83" s="3"/>
      <c r="K83" s="11" t="e">
        <f>LAN_OP[[#This Row],[VALOR FATURADO]]/LAN_OP[[#This Row],[VALOR CONTRATO]]</f>
        <v>#DIV/0!</v>
      </c>
      <c r="L83" s="4">
        <f>LAN_OP[[#This Row],[VALOR CONTRATO]]-LAN_OP[[#This Row],[VALOR FATURADO]]</f>
        <v>0</v>
      </c>
      <c r="M83" s="11" t="e">
        <v>#DIV/0!</v>
      </c>
      <c r="N83" s="138"/>
      <c r="O83" s="138"/>
      <c r="P83" s="11"/>
      <c r="Q83" s="141"/>
      <c r="R83" s="3"/>
      <c r="S83" s="4"/>
      <c r="T83" s="8" t="str">
        <f>IFERROR(VLOOKUP(LAN_OP[[#This Row],[OP/OS]],LANC_FAT!A:M,2,0),"-")</f>
        <v>-</v>
      </c>
      <c r="U83" s="139" t="str">
        <f>IFERROR(VLOOKUP(LAN_OP[[#This Row],[OP/OS]],LANC_FAT!A:M,8,0),"-")</f>
        <v>-</v>
      </c>
      <c r="V83" s="10">
        <f>SUMIF(LANC_FAT[OP/OS],LAN_OP[[#This Row],[OP/OS]],LANC_FAT[VALOR DA NF COM IMPOSTO])</f>
        <v>0</v>
      </c>
      <c r="W83" s="3"/>
      <c r="X83" s="10">
        <f>SUMIF(LANC_COMPRA[OP/OS],LAN_OP[[#This Row],[OP/OS]],LANC_COMPRA[[VALOR ]])</f>
        <v>0</v>
      </c>
      <c r="Y83" s="10">
        <f>SUMIF(LANC_HORAS[OP/OS],LAN_OP[[#This Row],[OP/OS]],LANC_HORAS[TOTAL GERAL NORMAL])</f>
        <v>0</v>
      </c>
      <c r="Z83" s="10">
        <f>SUMIF(LANC_HORAS[OP/OS],LAN_OP[[#This Row],[OP/OS]],LANC_HORAS[TOTAL GERAL EXTRAS])</f>
        <v>0</v>
      </c>
      <c r="AA83" s="12">
        <f>SUMIF(LANC_HORAS[OP/OS],LAN_OP[[#This Row],[OP/OS]],LANC_HORAS[TOTAL H.N])</f>
        <v>0</v>
      </c>
      <c r="AB83" s="12">
        <f>SUMIF(LANC_HORAS[OP/OS],LAN_OP[[#This Row],[OP/OS]],LANC_HORAS[TOTAL H.E])</f>
        <v>0</v>
      </c>
      <c r="AC83" s="10">
        <f>SUMIF(LANC_DESPESAS[OS/OP],LAN_OP[[#This Row],[OP/OS]],LANC_DESPESAS[OBSERVAÇÕES])</f>
        <v>0</v>
      </c>
      <c r="AD83" s="3">
        <f>SUMIF(LANC_DESLOC[OS/OP],LAN_OP[[#This Row],[OP/OS]],LANC_DESLOC[ANO])</f>
        <v>0</v>
      </c>
      <c r="AE8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3" s="3">
        <f>LAN_OP[[#This Row],[TOTAL PARCIAL (M.O+MT+DESP)]]*1.08</f>
        <v>0</v>
      </c>
      <c r="AG83" s="3">
        <f>LAN_OP[[#This Row],[TOTAL PARCIAL + OUTROS CUSTOS (8%)]]*1.09</f>
        <v>0</v>
      </c>
      <c r="AH83" t="str">
        <f>IF(AND(U83&gt;=CALENDARIO!$B$2,U83&lt;=CALENDARIO!$C$2),"JANEIRO",IF(AND(U83&gt;=CALENDARIO!$B$3,U83&lt;=CALENDARIO!$C$3),"FEVEREIRO",IF(AND(U83&gt;=CALENDARIO!$B$4,U83&lt;=CALENDARIO!$C$4),"MARÇO",IF(AND(U83&gt;=CALENDARIO!$B$5,U83&lt;=CALENDARIO!$C$5),"ABRIL",IF(AND(U83&gt;=CALENDARIO!$B$6,U83&lt;=CALENDARIO!$C$6),"MAIO",IF(AND(U83&gt;=CALENDARIO!$B$7,U83&lt;=CALENDARIO!$C$7),"JUNHO",IF(AND(U83&gt;=CALENDARIO!$B$8,U83&lt;=CALENDARIO!$C$8),"JULHO",IF(AND(U83&gt;=CALENDARIO!$B$9,U83&lt;=CALENDARIO!$C$9),"AGOSTO",IF(AND(U83&gt;=CALENDARIO!$B$10,U83&lt;=CALENDARIO!$C$10),"SETEMBRO",IF(AND(U83&gt;=CALENDARIO!$B$11,U83&lt;=CALENDARIO!$C$11),"OUTUBRO",IF(AND(U83&gt;=CALENDARIO!$B$12,U83&lt;=CALENDARIO!$C$12),"NOVEMBRO",IF(AND(U83&gt;=CALENDARIO!$B$13,U83&lt;=CALENDARIO!$C$13),"DEZEMBRO","-"))))))))))))</f>
        <v>-</v>
      </c>
      <c r="AI83" s="3">
        <f>LAN_OP[[#This Row],[VALOR CONTRATO]]-LAN_OP[[#This Row],[TOTAL CUSTO (O.C + DI + MT + MO+DESP)]]</f>
        <v>0</v>
      </c>
      <c r="AJ83" s="11" t="str">
        <f>IFERROR(LAN_OP[[#This Row],[R$ (CONTRATO - CUSTOS)]]/LAN_OP[[#This Row],[VALOR CONTRATO]],"")</f>
        <v/>
      </c>
      <c r="AK83" s="3">
        <f>LAN_OP[[#This Row],[VALOR CONTRATO]]-LAN_OP[[#This Row],[VALOR FATURADO]]</f>
        <v>0</v>
      </c>
      <c r="AL83" s="3" t="str">
        <f>IF(AND(C83&gt;=CALENDARIO!$B$2,C83&lt;=CALENDARIO!$C$2),"JANEIRO",IF(AND(C83&gt;=CALENDARIO!$B$3,C83&lt;=CALENDARIO!$C$3),"FEVEREIRO",IF(AND(C83&gt;=CALENDARIO!$B$4,C83&lt;=CALENDARIO!$C$4),"MARÇO",IF(AND(C83&gt;=CALENDARIO!$B$5,C83&lt;=CALENDARIO!$C$5),"ABRIL",IF(AND(C83&gt;=CALENDARIO!$B$6,C83&lt;=CALENDARIO!$C$6),"MAIO",IF(AND(C83&gt;=CALENDARIO!$B$7,C83&lt;=CALENDARIO!$C$7),"JUNHO",IF(AND(C83&gt;=CALENDARIO!$B$8,C83&lt;=CALENDARIO!$C$8),"JULHO",IF(AND(C83&gt;=CALENDARIO!$B$9,C83&lt;=CALENDARIO!$C$9),"AGOSTO",IF(AND(C83&gt;=CALENDARIO!$B$10,C83&lt;=CALENDARIO!$C$10),"SETEMBRO",IF(AND(C83&gt;=CALENDARIO!$B$11,C83&lt;=CALENDARIO!$C$11),"OUTUBRO",IF(AND(C83&gt;=CALENDARIO!$B$12,C83&lt;=CALENDARIO!$C$12),"NOVEMBRO",IF(AND(C83&gt;=CALENDARIO!$B$13,C83&lt;=CALENDARIO!$C$13),"DEZEMBRO","-"))))))))))))</f>
        <v>-</v>
      </c>
      <c r="AM83" s="3" t="str">
        <f>RIGHT(LAN_OP[[#This Row],[OP/OS]],4)</f>
        <v/>
      </c>
    </row>
    <row r="84" spans="2:39" x14ac:dyDescent="0.3">
      <c r="B84" s="80"/>
      <c r="C84" s="140"/>
      <c r="G84"/>
      <c r="H84"/>
      <c r="I84" s="3"/>
      <c r="J84" s="3"/>
      <c r="K84" s="11" t="e">
        <f>LAN_OP[[#This Row],[VALOR FATURADO]]/LAN_OP[[#This Row],[VALOR CONTRATO]]</f>
        <v>#DIV/0!</v>
      </c>
      <c r="L84" s="4">
        <f>LAN_OP[[#This Row],[VALOR CONTRATO]]-LAN_OP[[#This Row],[VALOR FATURADO]]</f>
        <v>0</v>
      </c>
      <c r="M84" s="11" t="e">
        <v>#DIV/0!</v>
      </c>
      <c r="N84" s="138"/>
      <c r="O84" s="138"/>
      <c r="P84" s="11"/>
      <c r="Q84" s="141"/>
      <c r="R84" s="3"/>
      <c r="S84" s="4"/>
      <c r="T84" s="8" t="str">
        <f>IFERROR(VLOOKUP(LAN_OP[[#This Row],[OP/OS]],LANC_FAT!A:M,2,0),"-")</f>
        <v>-</v>
      </c>
      <c r="U84" s="139" t="str">
        <f>IFERROR(VLOOKUP(LAN_OP[[#This Row],[OP/OS]],LANC_FAT!A:M,8,0),"-")</f>
        <v>-</v>
      </c>
      <c r="V84" s="10">
        <f>SUMIF(LANC_FAT[OP/OS],LAN_OP[[#This Row],[OP/OS]],LANC_FAT[VALOR DA NF COM IMPOSTO])</f>
        <v>0</v>
      </c>
      <c r="W84" s="3"/>
      <c r="X84" s="10">
        <f>SUMIF(LANC_COMPRA[OP/OS],LAN_OP[[#This Row],[OP/OS]],LANC_COMPRA[[VALOR ]])</f>
        <v>0</v>
      </c>
      <c r="Y84" s="10">
        <f>SUMIF(LANC_HORAS[OP/OS],LAN_OP[[#This Row],[OP/OS]],LANC_HORAS[TOTAL GERAL NORMAL])</f>
        <v>0</v>
      </c>
      <c r="Z84" s="10">
        <f>SUMIF(LANC_HORAS[OP/OS],LAN_OP[[#This Row],[OP/OS]],LANC_HORAS[TOTAL GERAL EXTRAS])</f>
        <v>0</v>
      </c>
      <c r="AA84" s="12">
        <f>SUMIF(LANC_HORAS[OP/OS],LAN_OP[[#This Row],[OP/OS]],LANC_HORAS[TOTAL H.N])</f>
        <v>0</v>
      </c>
      <c r="AB84" s="12">
        <f>SUMIF(LANC_HORAS[OP/OS],LAN_OP[[#This Row],[OP/OS]],LANC_HORAS[TOTAL H.E])</f>
        <v>0</v>
      </c>
      <c r="AC84" s="10">
        <f>SUMIF(LANC_DESPESAS[OS/OP],LAN_OP[[#This Row],[OP/OS]],LANC_DESPESAS[OBSERVAÇÕES])</f>
        <v>0</v>
      </c>
      <c r="AD84" s="3">
        <f>SUMIF(LANC_DESLOC[OS/OP],LAN_OP[[#This Row],[OP/OS]],LANC_DESLOC[ANO])</f>
        <v>0</v>
      </c>
      <c r="AE8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4" s="3">
        <f>LAN_OP[[#This Row],[TOTAL PARCIAL (M.O+MT+DESP)]]*1.08</f>
        <v>0</v>
      </c>
      <c r="AG84" s="3">
        <f>LAN_OP[[#This Row],[TOTAL PARCIAL + OUTROS CUSTOS (8%)]]*1.09</f>
        <v>0</v>
      </c>
      <c r="AH84" t="str">
        <f>IF(AND(U84&gt;=CALENDARIO!$B$2,U84&lt;=CALENDARIO!$C$2),"JANEIRO",IF(AND(U84&gt;=CALENDARIO!$B$3,U84&lt;=CALENDARIO!$C$3),"FEVEREIRO",IF(AND(U84&gt;=CALENDARIO!$B$4,U84&lt;=CALENDARIO!$C$4),"MARÇO",IF(AND(U84&gt;=CALENDARIO!$B$5,U84&lt;=CALENDARIO!$C$5),"ABRIL",IF(AND(U84&gt;=CALENDARIO!$B$6,U84&lt;=CALENDARIO!$C$6),"MAIO",IF(AND(U84&gt;=CALENDARIO!$B$7,U84&lt;=CALENDARIO!$C$7),"JUNHO",IF(AND(U84&gt;=CALENDARIO!$B$8,U84&lt;=CALENDARIO!$C$8),"JULHO",IF(AND(U84&gt;=CALENDARIO!$B$9,U84&lt;=CALENDARIO!$C$9),"AGOSTO",IF(AND(U84&gt;=CALENDARIO!$B$10,U84&lt;=CALENDARIO!$C$10),"SETEMBRO",IF(AND(U84&gt;=CALENDARIO!$B$11,U84&lt;=CALENDARIO!$C$11),"OUTUBRO",IF(AND(U84&gt;=CALENDARIO!$B$12,U84&lt;=CALENDARIO!$C$12),"NOVEMBRO",IF(AND(U84&gt;=CALENDARIO!$B$13,U84&lt;=CALENDARIO!$C$13),"DEZEMBRO","-"))))))))))))</f>
        <v>-</v>
      </c>
      <c r="AI84" s="3">
        <f>LAN_OP[[#This Row],[VALOR CONTRATO]]-LAN_OP[[#This Row],[TOTAL CUSTO (O.C + DI + MT + MO+DESP)]]</f>
        <v>0</v>
      </c>
      <c r="AJ84" s="11" t="str">
        <f>IFERROR(LAN_OP[[#This Row],[R$ (CONTRATO - CUSTOS)]]/LAN_OP[[#This Row],[VALOR CONTRATO]],"")</f>
        <v/>
      </c>
      <c r="AK84" s="3">
        <f>LAN_OP[[#This Row],[VALOR CONTRATO]]-LAN_OP[[#This Row],[VALOR FATURADO]]</f>
        <v>0</v>
      </c>
      <c r="AL84" s="3" t="str">
        <f>IF(AND(C84&gt;=CALENDARIO!$B$2,C84&lt;=CALENDARIO!$C$2),"JANEIRO",IF(AND(C84&gt;=CALENDARIO!$B$3,C84&lt;=CALENDARIO!$C$3),"FEVEREIRO",IF(AND(C84&gt;=CALENDARIO!$B$4,C84&lt;=CALENDARIO!$C$4),"MARÇO",IF(AND(C84&gt;=CALENDARIO!$B$5,C84&lt;=CALENDARIO!$C$5),"ABRIL",IF(AND(C84&gt;=CALENDARIO!$B$6,C84&lt;=CALENDARIO!$C$6),"MAIO",IF(AND(C84&gt;=CALENDARIO!$B$7,C84&lt;=CALENDARIO!$C$7),"JUNHO",IF(AND(C84&gt;=CALENDARIO!$B$8,C84&lt;=CALENDARIO!$C$8),"JULHO",IF(AND(C84&gt;=CALENDARIO!$B$9,C84&lt;=CALENDARIO!$C$9),"AGOSTO",IF(AND(C84&gt;=CALENDARIO!$B$10,C84&lt;=CALENDARIO!$C$10),"SETEMBRO",IF(AND(C84&gt;=CALENDARIO!$B$11,C84&lt;=CALENDARIO!$C$11),"OUTUBRO",IF(AND(C84&gt;=CALENDARIO!$B$12,C84&lt;=CALENDARIO!$C$12),"NOVEMBRO",IF(AND(C84&gt;=CALENDARIO!$B$13,C84&lt;=CALENDARIO!$C$13),"DEZEMBRO","-"))))))))))))</f>
        <v>-</v>
      </c>
      <c r="AM84" s="3" t="str">
        <f>RIGHT(LAN_OP[[#This Row],[OP/OS]],4)</f>
        <v/>
      </c>
    </row>
    <row r="85" spans="2:39" x14ac:dyDescent="0.3">
      <c r="B85" s="80"/>
      <c r="C85" s="140"/>
      <c r="G85"/>
      <c r="H85"/>
      <c r="I85" s="3"/>
      <c r="J85" s="3"/>
      <c r="K85" s="11" t="e">
        <f>LAN_OP[[#This Row],[VALOR FATURADO]]/LAN_OP[[#This Row],[VALOR CONTRATO]]</f>
        <v>#DIV/0!</v>
      </c>
      <c r="L85" s="4">
        <f>LAN_OP[[#This Row],[VALOR CONTRATO]]-LAN_OP[[#This Row],[VALOR FATURADO]]</f>
        <v>0</v>
      </c>
      <c r="M85" s="11" t="e">
        <v>#DIV/0!</v>
      </c>
      <c r="N85" s="138"/>
      <c r="O85" s="138"/>
      <c r="P85" s="11"/>
      <c r="Q85" s="141"/>
      <c r="R85" s="3"/>
      <c r="S85" s="4"/>
      <c r="T85" s="8" t="str">
        <f>IFERROR(VLOOKUP(LAN_OP[[#This Row],[OP/OS]],LANC_FAT!A:M,2,0),"-")</f>
        <v>-</v>
      </c>
      <c r="U85" s="139" t="str">
        <f>IFERROR(VLOOKUP(LAN_OP[[#This Row],[OP/OS]],LANC_FAT!A:M,8,0),"-")</f>
        <v>-</v>
      </c>
      <c r="V85" s="10">
        <f>SUMIF(LANC_FAT[OP/OS],LAN_OP[[#This Row],[OP/OS]],LANC_FAT[VALOR DA NF COM IMPOSTO])</f>
        <v>0</v>
      </c>
      <c r="W85" s="3"/>
      <c r="X85" s="10">
        <f>SUMIF(LANC_COMPRA[OP/OS],LAN_OP[[#This Row],[OP/OS]],LANC_COMPRA[[VALOR ]])</f>
        <v>0</v>
      </c>
      <c r="Y85" s="10">
        <f>SUMIF(LANC_HORAS[OP/OS],LAN_OP[[#This Row],[OP/OS]],LANC_HORAS[TOTAL GERAL NORMAL])</f>
        <v>0</v>
      </c>
      <c r="Z85" s="10">
        <f>SUMIF(LANC_HORAS[OP/OS],LAN_OP[[#This Row],[OP/OS]],LANC_HORAS[TOTAL GERAL EXTRAS])</f>
        <v>0</v>
      </c>
      <c r="AA85" s="12">
        <f>SUMIF(LANC_HORAS[OP/OS],LAN_OP[[#This Row],[OP/OS]],LANC_HORAS[TOTAL H.N])</f>
        <v>0</v>
      </c>
      <c r="AB85" s="12">
        <f>SUMIF(LANC_HORAS[OP/OS],LAN_OP[[#This Row],[OP/OS]],LANC_HORAS[TOTAL H.E])</f>
        <v>0</v>
      </c>
      <c r="AC85" s="10">
        <f>SUMIF(LANC_DESPESAS[OS/OP],LAN_OP[[#This Row],[OP/OS]],LANC_DESPESAS[OBSERVAÇÕES])</f>
        <v>0</v>
      </c>
      <c r="AD85" s="3">
        <f>SUMIF(LANC_DESLOC[OS/OP],LAN_OP[[#This Row],[OP/OS]],LANC_DESLOC[ANO])</f>
        <v>0</v>
      </c>
      <c r="AE8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5" s="3">
        <f>LAN_OP[[#This Row],[TOTAL PARCIAL (M.O+MT+DESP)]]*1.08</f>
        <v>0</v>
      </c>
      <c r="AG85" s="3">
        <f>LAN_OP[[#This Row],[TOTAL PARCIAL + OUTROS CUSTOS (8%)]]*1.09</f>
        <v>0</v>
      </c>
      <c r="AH85" t="str">
        <f>IF(AND(U85&gt;=CALENDARIO!$B$2,U85&lt;=CALENDARIO!$C$2),"JANEIRO",IF(AND(U85&gt;=CALENDARIO!$B$3,U85&lt;=CALENDARIO!$C$3),"FEVEREIRO",IF(AND(U85&gt;=CALENDARIO!$B$4,U85&lt;=CALENDARIO!$C$4),"MARÇO",IF(AND(U85&gt;=CALENDARIO!$B$5,U85&lt;=CALENDARIO!$C$5),"ABRIL",IF(AND(U85&gt;=CALENDARIO!$B$6,U85&lt;=CALENDARIO!$C$6),"MAIO",IF(AND(U85&gt;=CALENDARIO!$B$7,U85&lt;=CALENDARIO!$C$7),"JUNHO",IF(AND(U85&gt;=CALENDARIO!$B$8,U85&lt;=CALENDARIO!$C$8),"JULHO",IF(AND(U85&gt;=CALENDARIO!$B$9,U85&lt;=CALENDARIO!$C$9),"AGOSTO",IF(AND(U85&gt;=CALENDARIO!$B$10,U85&lt;=CALENDARIO!$C$10),"SETEMBRO",IF(AND(U85&gt;=CALENDARIO!$B$11,U85&lt;=CALENDARIO!$C$11),"OUTUBRO",IF(AND(U85&gt;=CALENDARIO!$B$12,U85&lt;=CALENDARIO!$C$12),"NOVEMBRO",IF(AND(U85&gt;=CALENDARIO!$B$13,U85&lt;=CALENDARIO!$C$13),"DEZEMBRO","-"))))))))))))</f>
        <v>-</v>
      </c>
      <c r="AI85" s="3">
        <f>LAN_OP[[#This Row],[VALOR CONTRATO]]-LAN_OP[[#This Row],[TOTAL CUSTO (O.C + DI + MT + MO+DESP)]]</f>
        <v>0</v>
      </c>
      <c r="AJ85" s="11" t="str">
        <f>IFERROR(LAN_OP[[#This Row],[R$ (CONTRATO - CUSTOS)]]/LAN_OP[[#This Row],[VALOR CONTRATO]],"")</f>
        <v/>
      </c>
      <c r="AK85" s="3">
        <f>LAN_OP[[#This Row],[VALOR CONTRATO]]-LAN_OP[[#This Row],[VALOR FATURADO]]</f>
        <v>0</v>
      </c>
      <c r="AL85" s="3" t="str">
        <f>IF(AND(C85&gt;=CALENDARIO!$B$2,C85&lt;=CALENDARIO!$C$2),"JANEIRO",IF(AND(C85&gt;=CALENDARIO!$B$3,C85&lt;=CALENDARIO!$C$3),"FEVEREIRO",IF(AND(C85&gt;=CALENDARIO!$B$4,C85&lt;=CALENDARIO!$C$4),"MARÇO",IF(AND(C85&gt;=CALENDARIO!$B$5,C85&lt;=CALENDARIO!$C$5),"ABRIL",IF(AND(C85&gt;=CALENDARIO!$B$6,C85&lt;=CALENDARIO!$C$6),"MAIO",IF(AND(C85&gt;=CALENDARIO!$B$7,C85&lt;=CALENDARIO!$C$7),"JUNHO",IF(AND(C85&gt;=CALENDARIO!$B$8,C85&lt;=CALENDARIO!$C$8),"JULHO",IF(AND(C85&gt;=CALENDARIO!$B$9,C85&lt;=CALENDARIO!$C$9),"AGOSTO",IF(AND(C85&gt;=CALENDARIO!$B$10,C85&lt;=CALENDARIO!$C$10),"SETEMBRO",IF(AND(C85&gt;=CALENDARIO!$B$11,C85&lt;=CALENDARIO!$C$11),"OUTUBRO",IF(AND(C85&gt;=CALENDARIO!$B$12,C85&lt;=CALENDARIO!$C$12),"NOVEMBRO",IF(AND(C85&gt;=CALENDARIO!$B$13,C85&lt;=CALENDARIO!$C$13),"DEZEMBRO","-"))))))))))))</f>
        <v>-</v>
      </c>
      <c r="AM85" s="3" t="str">
        <f>RIGHT(LAN_OP[[#This Row],[OP/OS]],4)</f>
        <v/>
      </c>
    </row>
    <row r="86" spans="2:39" x14ac:dyDescent="0.3">
      <c r="B86" s="80"/>
      <c r="C86" s="140"/>
      <c r="G86"/>
      <c r="H86"/>
      <c r="I86" s="3"/>
      <c r="J86" s="3"/>
      <c r="K86" s="11" t="e">
        <f>LAN_OP[[#This Row],[VALOR FATURADO]]/LAN_OP[[#This Row],[VALOR CONTRATO]]</f>
        <v>#DIV/0!</v>
      </c>
      <c r="L86" s="4">
        <f>LAN_OP[[#This Row],[VALOR CONTRATO]]-LAN_OP[[#This Row],[VALOR FATURADO]]</f>
        <v>0</v>
      </c>
      <c r="M86" s="11" t="e">
        <v>#DIV/0!</v>
      </c>
      <c r="N86" s="138"/>
      <c r="O86" s="138"/>
      <c r="P86" s="11"/>
      <c r="Q86" s="141"/>
      <c r="R86" s="3"/>
      <c r="S86" s="4"/>
      <c r="T86" s="8" t="str">
        <f>IFERROR(VLOOKUP(LAN_OP[[#This Row],[OP/OS]],LANC_FAT!A:M,2,0),"-")</f>
        <v>-</v>
      </c>
      <c r="U86" s="139" t="str">
        <f>IFERROR(VLOOKUP(LAN_OP[[#This Row],[OP/OS]],LANC_FAT!A:M,8,0),"-")</f>
        <v>-</v>
      </c>
      <c r="V86" s="10">
        <f>SUMIF(LANC_FAT[OP/OS],LAN_OP[[#This Row],[OP/OS]],LANC_FAT[VALOR DA NF COM IMPOSTO])</f>
        <v>0</v>
      </c>
      <c r="W86" s="3"/>
      <c r="X86" s="10">
        <f>SUMIF(LANC_COMPRA[OP/OS],LAN_OP[[#This Row],[OP/OS]],LANC_COMPRA[[VALOR ]])</f>
        <v>0</v>
      </c>
      <c r="Y86" s="10">
        <f>SUMIF(LANC_HORAS[OP/OS],LAN_OP[[#This Row],[OP/OS]],LANC_HORAS[TOTAL GERAL NORMAL])</f>
        <v>0</v>
      </c>
      <c r="Z86" s="10">
        <f>SUMIF(LANC_HORAS[OP/OS],LAN_OP[[#This Row],[OP/OS]],LANC_HORAS[TOTAL GERAL EXTRAS])</f>
        <v>0</v>
      </c>
      <c r="AA86" s="12">
        <f>SUMIF(LANC_HORAS[OP/OS],LAN_OP[[#This Row],[OP/OS]],LANC_HORAS[TOTAL H.N])</f>
        <v>0</v>
      </c>
      <c r="AB86" s="12">
        <f>SUMIF(LANC_HORAS[OP/OS],LAN_OP[[#This Row],[OP/OS]],LANC_HORAS[TOTAL H.E])</f>
        <v>0</v>
      </c>
      <c r="AC86" s="10">
        <f>SUMIF(LANC_DESPESAS[OS/OP],LAN_OP[[#This Row],[OP/OS]],LANC_DESPESAS[OBSERVAÇÕES])</f>
        <v>0</v>
      </c>
      <c r="AD86" s="3">
        <f>SUMIF(LANC_DESLOC[OS/OP],LAN_OP[[#This Row],[OP/OS]],LANC_DESLOC[ANO])</f>
        <v>0</v>
      </c>
      <c r="AE8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6" s="3">
        <f>LAN_OP[[#This Row],[TOTAL PARCIAL (M.O+MT+DESP)]]*1.08</f>
        <v>0</v>
      </c>
      <c r="AG86" s="3">
        <f>LAN_OP[[#This Row],[TOTAL PARCIAL + OUTROS CUSTOS (8%)]]*1.09</f>
        <v>0</v>
      </c>
      <c r="AH86" t="str">
        <f>IF(AND(U86&gt;=CALENDARIO!$B$2,U86&lt;=CALENDARIO!$C$2),"JANEIRO",IF(AND(U86&gt;=CALENDARIO!$B$3,U86&lt;=CALENDARIO!$C$3),"FEVEREIRO",IF(AND(U86&gt;=CALENDARIO!$B$4,U86&lt;=CALENDARIO!$C$4),"MARÇO",IF(AND(U86&gt;=CALENDARIO!$B$5,U86&lt;=CALENDARIO!$C$5),"ABRIL",IF(AND(U86&gt;=CALENDARIO!$B$6,U86&lt;=CALENDARIO!$C$6),"MAIO",IF(AND(U86&gt;=CALENDARIO!$B$7,U86&lt;=CALENDARIO!$C$7),"JUNHO",IF(AND(U86&gt;=CALENDARIO!$B$8,U86&lt;=CALENDARIO!$C$8),"JULHO",IF(AND(U86&gt;=CALENDARIO!$B$9,U86&lt;=CALENDARIO!$C$9),"AGOSTO",IF(AND(U86&gt;=CALENDARIO!$B$10,U86&lt;=CALENDARIO!$C$10),"SETEMBRO",IF(AND(U86&gt;=CALENDARIO!$B$11,U86&lt;=CALENDARIO!$C$11),"OUTUBRO",IF(AND(U86&gt;=CALENDARIO!$B$12,U86&lt;=CALENDARIO!$C$12),"NOVEMBRO",IF(AND(U86&gt;=CALENDARIO!$B$13,U86&lt;=CALENDARIO!$C$13),"DEZEMBRO","-"))))))))))))</f>
        <v>-</v>
      </c>
      <c r="AI86" s="3">
        <f>LAN_OP[[#This Row],[VALOR CONTRATO]]-LAN_OP[[#This Row],[TOTAL CUSTO (O.C + DI + MT + MO+DESP)]]</f>
        <v>0</v>
      </c>
      <c r="AJ86" s="11" t="str">
        <f>IFERROR(LAN_OP[[#This Row],[R$ (CONTRATO - CUSTOS)]]/LAN_OP[[#This Row],[VALOR CONTRATO]],"")</f>
        <v/>
      </c>
      <c r="AK86" s="3">
        <f>LAN_OP[[#This Row],[VALOR CONTRATO]]-LAN_OP[[#This Row],[VALOR FATURADO]]</f>
        <v>0</v>
      </c>
      <c r="AL86" s="3" t="str">
        <f>IF(AND(C86&gt;=CALENDARIO!$B$2,C86&lt;=CALENDARIO!$C$2),"JANEIRO",IF(AND(C86&gt;=CALENDARIO!$B$3,C86&lt;=CALENDARIO!$C$3),"FEVEREIRO",IF(AND(C86&gt;=CALENDARIO!$B$4,C86&lt;=CALENDARIO!$C$4),"MARÇO",IF(AND(C86&gt;=CALENDARIO!$B$5,C86&lt;=CALENDARIO!$C$5),"ABRIL",IF(AND(C86&gt;=CALENDARIO!$B$6,C86&lt;=CALENDARIO!$C$6),"MAIO",IF(AND(C86&gt;=CALENDARIO!$B$7,C86&lt;=CALENDARIO!$C$7),"JUNHO",IF(AND(C86&gt;=CALENDARIO!$B$8,C86&lt;=CALENDARIO!$C$8),"JULHO",IF(AND(C86&gt;=CALENDARIO!$B$9,C86&lt;=CALENDARIO!$C$9),"AGOSTO",IF(AND(C86&gt;=CALENDARIO!$B$10,C86&lt;=CALENDARIO!$C$10),"SETEMBRO",IF(AND(C86&gt;=CALENDARIO!$B$11,C86&lt;=CALENDARIO!$C$11),"OUTUBRO",IF(AND(C86&gt;=CALENDARIO!$B$12,C86&lt;=CALENDARIO!$C$12),"NOVEMBRO",IF(AND(C86&gt;=CALENDARIO!$B$13,C86&lt;=CALENDARIO!$C$13),"DEZEMBRO","-"))))))))))))</f>
        <v>-</v>
      </c>
      <c r="AM86" s="3" t="str">
        <f>RIGHT(LAN_OP[[#This Row],[OP/OS]],4)</f>
        <v/>
      </c>
    </row>
    <row r="87" spans="2:39" x14ac:dyDescent="0.3">
      <c r="B87" s="80"/>
      <c r="C87" s="140"/>
      <c r="G87"/>
      <c r="H87"/>
      <c r="I87" s="3"/>
      <c r="J87" s="3"/>
      <c r="K87" s="11" t="e">
        <f>LAN_OP[[#This Row],[VALOR FATURADO]]/LAN_OP[[#This Row],[VALOR CONTRATO]]</f>
        <v>#DIV/0!</v>
      </c>
      <c r="L87" s="4">
        <f>LAN_OP[[#This Row],[VALOR CONTRATO]]-LAN_OP[[#This Row],[VALOR FATURADO]]</f>
        <v>0</v>
      </c>
      <c r="M87" s="11" t="e">
        <v>#DIV/0!</v>
      </c>
      <c r="N87" s="138"/>
      <c r="O87" s="138"/>
      <c r="P87" s="11"/>
      <c r="Q87" s="141"/>
      <c r="R87" s="3"/>
      <c r="S87" s="4"/>
      <c r="T87" s="8" t="str">
        <f>IFERROR(VLOOKUP(LAN_OP[[#This Row],[OP/OS]],LANC_FAT!A:M,2,0),"-")</f>
        <v>-</v>
      </c>
      <c r="U87" s="139" t="str">
        <f>IFERROR(VLOOKUP(LAN_OP[[#This Row],[OP/OS]],LANC_FAT!A:M,8,0),"-")</f>
        <v>-</v>
      </c>
      <c r="V87" s="10">
        <f>SUMIF(LANC_FAT[OP/OS],LAN_OP[[#This Row],[OP/OS]],LANC_FAT[VALOR DA NF COM IMPOSTO])</f>
        <v>0</v>
      </c>
      <c r="W87" s="3"/>
      <c r="X87" s="10">
        <f>SUMIF(LANC_COMPRA[OP/OS],LAN_OP[[#This Row],[OP/OS]],LANC_COMPRA[[VALOR ]])</f>
        <v>0</v>
      </c>
      <c r="Y87" s="10">
        <f>SUMIF(LANC_HORAS[OP/OS],LAN_OP[[#This Row],[OP/OS]],LANC_HORAS[TOTAL GERAL NORMAL])</f>
        <v>0</v>
      </c>
      <c r="Z87" s="10">
        <f>SUMIF(LANC_HORAS[OP/OS],LAN_OP[[#This Row],[OP/OS]],LANC_HORAS[TOTAL GERAL EXTRAS])</f>
        <v>0</v>
      </c>
      <c r="AA87" s="12">
        <f>SUMIF(LANC_HORAS[OP/OS],LAN_OP[[#This Row],[OP/OS]],LANC_HORAS[TOTAL H.N])</f>
        <v>0</v>
      </c>
      <c r="AB87" s="12">
        <f>SUMIF(LANC_HORAS[OP/OS],LAN_OP[[#This Row],[OP/OS]],LANC_HORAS[TOTAL H.E])</f>
        <v>0</v>
      </c>
      <c r="AC87" s="10">
        <f>SUMIF(LANC_DESPESAS[OS/OP],LAN_OP[[#This Row],[OP/OS]],LANC_DESPESAS[OBSERVAÇÕES])</f>
        <v>0</v>
      </c>
      <c r="AD87" s="3">
        <f>SUMIF(LANC_DESLOC[OS/OP],LAN_OP[[#This Row],[OP/OS]],LANC_DESLOC[ANO])</f>
        <v>0</v>
      </c>
      <c r="AE8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7" s="3">
        <f>LAN_OP[[#This Row],[TOTAL PARCIAL (M.O+MT+DESP)]]*1.08</f>
        <v>0</v>
      </c>
      <c r="AG87" s="3">
        <f>LAN_OP[[#This Row],[TOTAL PARCIAL + OUTROS CUSTOS (8%)]]*1.09</f>
        <v>0</v>
      </c>
      <c r="AH87" t="str">
        <f>IF(AND(U87&gt;=CALENDARIO!$B$2,U87&lt;=CALENDARIO!$C$2),"JANEIRO",IF(AND(U87&gt;=CALENDARIO!$B$3,U87&lt;=CALENDARIO!$C$3),"FEVEREIRO",IF(AND(U87&gt;=CALENDARIO!$B$4,U87&lt;=CALENDARIO!$C$4),"MARÇO",IF(AND(U87&gt;=CALENDARIO!$B$5,U87&lt;=CALENDARIO!$C$5),"ABRIL",IF(AND(U87&gt;=CALENDARIO!$B$6,U87&lt;=CALENDARIO!$C$6),"MAIO",IF(AND(U87&gt;=CALENDARIO!$B$7,U87&lt;=CALENDARIO!$C$7),"JUNHO",IF(AND(U87&gt;=CALENDARIO!$B$8,U87&lt;=CALENDARIO!$C$8),"JULHO",IF(AND(U87&gt;=CALENDARIO!$B$9,U87&lt;=CALENDARIO!$C$9),"AGOSTO",IF(AND(U87&gt;=CALENDARIO!$B$10,U87&lt;=CALENDARIO!$C$10),"SETEMBRO",IF(AND(U87&gt;=CALENDARIO!$B$11,U87&lt;=CALENDARIO!$C$11),"OUTUBRO",IF(AND(U87&gt;=CALENDARIO!$B$12,U87&lt;=CALENDARIO!$C$12),"NOVEMBRO",IF(AND(U87&gt;=CALENDARIO!$B$13,U87&lt;=CALENDARIO!$C$13),"DEZEMBRO","-"))))))))))))</f>
        <v>-</v>
      </c>
      <c r="AI87" s="3">
        <f>LAN_OP[[#This Row],[VALOR CONTRATO]]-LAN_OP[[#This Row],[TOTAL CUSTO (O.C + DI + MT + MO+DESP)]]</f>
        <v>0</v>
      </c>
      <c r="AJ87" s="11" t="str">
        <f>IFERROR(LAN_OP[[#This Row],[R$ (CONTRATO - CUSTOS)]]/LAN_OP[[#This Row],[VALOR CONTRATO]],"")</f>
        <v/>
      </c>
      <c r="AK87" s="3">
        <f>LAN_OP[[#This Row],[VALOR CONTRATO]]-LAN_OP[[#This Row],[VALOR FATURADO]]</f>
        <v>0</v>
      </c>
      <c r="AL87" s="3" t="str">
        <f>IF(AND(C87&gt;=CALENDARIO!$B$2,C87&lt;=CALENDARIO!$C$2),"JANEIRO",IF(AND(C87&gt;=CALENDARIO!$B$3,C87&lt;=CALENDARIO!$C$3),"FEVEREIRO",IF(AND(C87&gt;=CALENDARIO!$B$4,C87&lt;=CALENDARIO!$C$4),"MARÇO",IF(AND(C87&gt;=CALENDARIO!$B$5,C87&lt;=CALENDARIO!$C$5),"ABRIL",IF(AND(C87&gt;=CALENDARIO!$B$6,C87&lt;=CALENDARIO!$C$6),"MAIO",IF(AND(C87&gt;=CALENDARIO!$B$7,C87&lt;=CALENDARIO!$C$7),"JUNHO",IF(AND(C87&gt;=CALENDARIO!$B$8,C87&lt;=CALENDARIO!$C$8),"JULHO",IF(AND(C87&gt;=CALENDARIO!$B$9,C87&lt;=CALENDARIO!$C$9),"AGOSTO",IF(AND(C87&gt;=CALENDARIO!$B$10,C87&lt;=CALENDARIO!$C$10),"SETEMBRO",IF(AND(C87&gt;=CALENDARIO!$B$11,C87&lt;=CALENDARIO!$C$11),"OUTUBRO",IF(AND(C87&gt;=CALENDARIO!$B$12,C87&lt;=CALENDARIO!$C$12),"NOVEMBRO",IF(AND(C87&gt;=CALENDARIO!$B$13,C87&lt;=CALENDARIO!$C$13),"DEZEMBRO","-"))))))))))))</f>
        <v>-</v>
      </c>
      <c r="AM87" s="3" t="str">
        <f>RIGHT(LAN_OP[[#This Row],[OP/OS]],4)</f>
        <v/>
      </c>
    </row>
    <row r="88" spans="2:39" x14ac:dyDescent="0.3">
      <c r="B88" s="80"/>
      <c r="C88" s="140"/>
      <c r="G88"/>
      <c r="H88"/>
      <c r="I88" s="3"/>
      <c r="J88" s="3"/>
      <c r="K88" s="11" t="e">
        <f>LAN_OP[[#This Row],[VALOR FATURADO]]/LAN_OP[[#This Row],[VALOR CONTRATO]]</f>
        <v>#DIV/0!</v>
      </c>
      <c r="L88" s="4">
        <f>LAN_OP[[#This Row],[VALOR CONTRATO]]-LAN_OP[[#This Row],[VALOR FATURADO]]</f>
        <v>0</v>
      </c>
      <c r="M88" s="11" t="e">
        <v>#DIV/0!</v>
      </c>
      <c r="N88" s="138"/>
      <c r="O88" s="138"/>
      <c r="P88" s="11"/>
      <c r="Q88" s="141"/>
      <c r="R88" s="3"/>
      <c r="S88" s="4"/>
      <c r="T88" s="8" t="str">
        <f>IFERROR(VLOOKUP(LAN_OP[[#This Row],[OP/OS]],LANC_FAT!A:M,2,0),"-")</f>
        <v>-</v>
      </c>
      <c r="U88" s="139" t="str">
        <f>IFERROR(VLOOKUP(LAN_OP[[#This Row],[OP/OS]],LANC_FAT!A:M,8,0),"-")</f>
        <v>-</v>
      </c>
      <c r="V88" s="10">
        <f>SUMIF(LANC_FAT[OP/OS],LAN_OP[[#This Row],[OP/OS]],LANC_FAT[VALOR DA NF COM IMPOSTO])</f>
        <v>0</v>
      </c>
      <c r="W88" s="3"/>
      <c r="X88" s="10">
        <f>SUMIF(LANC_COMPRA[OP/OS],LAN_OP[[#This Row],[OP/OS]],LANC_COMPRA[[VALOR ]])</f>
        <v>0</v>
      </c>
      <c r="Y88" s="10">
        <f>SUMIF(LANC_HORAS[OP/OS],LAN_OP[[#This Row],[OP/OS]],LANC_HORAS[TOTAL GERAL NORMAL])</f>
        <v>0</v>
      </c>
      <c r="Z88" s="10">
        <f>SUMIF(LANC_HORAS[OP/OS],LAN_OP[[#This Row],[OP/OS]],LANC_HORAS[TOTAL GERAL EXTRAS])</f>
        <v>0</v>
      </c>
      <c r="AA88" s="12">
        <f>SUMIF(LANC_HORAS[OP/OS],LAN_OP[[#This Row],[OP/OS]],LANC_HORAS[TOTAL H.N])</f>
        <v>0</v>
      </c>
      <c r="AB88" s="12">
        <f>SUMIF(LANC_HORAS[OP/OS],LAN_OP[[#This Row],[OP/OS]],LANC_HORAS[TOTAL H.E])</f>
        <v>0</v>
      </c>
      <c r="AC88" s="10">
        <f>SUMIF(LANC_DESPESAS[OS/OP],LAN_OP[[#This Row],[OP/OS]],LANC_DESPESAS[OBSERVAÇÕES])</f>
        <v>0</v>
      </c>
      <c r="AD88" s="3">
        <f>SUMIF(LANC_DESLOC[OS/OP],LAN_OP[[#This Row],[OP/OS]],LANC_DESLOC[ANO])</f>
        <v>0</v>
      </c>
      <c r="AE8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8" s="3">
        <f>LAN_OP[[#This Row],[TOTAL PARCIAL (M.O+MT+DESP)]]*1.08</f>
        <v>0</v>
      </c>
      <c r="AG88" s="3">
        <f>LAN_OP[[#This Row],[TOTAL PARCIAL + OUTROS CUSTOS (8%)]]*1.09</f>
        <v>0</v>
      </c>
      <c r="AH88" t="str">
        <f>IF(AND(U88&gt;=CALENDARIO!$B$2,U88&lt;=CALENDARIO!$C$2),"JANEIRO",IF(AND(U88&gt;=CALENDARIO!$B$3,U88&lt;=CALENDARIO!$C$3),"FEVEREIRO",IF(AND(U88&gt;=CALENDARIO!$B$4,U88&lt;=CALENDARIO!$C$4),"MARÇO",IF(AND(U88&gt;=CALENDARIO!$B$5,U88&lt;=CALENDARIO!$C$5),"ABRIL",IF(AND(U88&gt;=CALENDARIO!$B$6,U88&lt;=CALENDARIO!$C$6),"MAIO",IF(AND(U88&gt;=CALENDARIO!$B$7,U88&lt;=CALENDARIO!$C$7),"JUNHO",IF(AND(U88&gt;=CALENDARIO!$B$8,U88&lt;=CALENDARIO!$C$8),"JULHO",IF(AND(U88&gt;=CALENDARIO!$B$9,U88&lt;=CALENDARIO!$C$9),"AGOSTO",IF(AND(U88&gt;=CALENDARIO!$B$10,U88&lt;=CALENDARIO!$C$10),"SETEMBRO",IF(AND(U88&gt;=CALENDARIO!$B$11,U88&lt;=CALENDARIO!$C$11),"OUTUBRO",IF(AND(U88&gt;=CALENDARIO!$B$12,U88&lt;=CALENDARIO!$C$12),"NOVEMBRO",IF(AND(U88&gt;=CALENDARIO!$B$13,U88&lt;=CALENDARIO!$C$13),"DEZEMBRO","-"))))))))))))</f>
        <v>-</v>
      </c>
      <c r="AI88" s="3">
        <f>LAN_OP[[#This Row],[VALOR CONTRATO]]-LAN_OP[[#This Row],[TOTAL CUSTO (O.C + DI + MT + MO+DESP)]]</f>
        <v>0</v>
      </c>
      <c r="AJ88" s="11" t="str">
        <f>IFERROR(LAN_OP[[#This Row],[R$ (CONTRATO - CUSTOS)]]/LAN_OP[[#This Row],[VALOR CONTRATO]],"")</f>
        <v/>
      </c>
      <c r="AK88" s="3">
        <f>LAN_OP[[#This Row],[VALOR CONTRATO]]-LAN_OP[[#This Row],[VALOR FATURADO]]</f>
        <v>0</v>
      </c>
      <c r="AL88" s="3" t="str">
        <f>IF(AND(C88&gt;=CALENDARIO!$B$2,C88&lt;=CALENDARIO!$C$2),"JANEIRO",IF(AND(C88&gt;=CALENDARIO!$B$3,C88&lt;=CALENDARIO!$C$3),"FEVEREIRO",IF(AND(C88&gt;=CALENDARIO!$B$4,C88&lt;=CALENDARIO!$C$4),"MARÇO",IF(AND(C88&gt;=CALENDARIO!$B$5,C88&lt;=CALENDARIO!$C$5),"ABRIL",IF(AND(C88&gt;=CALENDARIO!$B$6,C88&lt;=CALENDARIO!$C$6),"MAIO",IF(AND(C88&gt;=CALENDARIO!$B$7,C88&lt;=CALENDARIO!$C$7),"JUNHO",IF(AND(C88&gt;=CALENDARIO!$B$8,C88&lt;=CALENDARIO!$C$8),"JULHO",IF(AND(C88&gt;=CALENDARIO!$B$9,C88&lt;=CALENDARIO!$C$9),"AGOSTO",IF(AND(C88&gt;=CALENDARIO!$B$10,C88&lt;=CALENDARIO!$C$10),"SETEMBRO",IF(AND(C88&gt;=CALENDARIO!$B$11,C88&lt;=CALENDARIO!$C$11),"OUTUBRO",IF(AND(C88&gt;=CALENDARIO!$B$12,C88&lt;=CALENDARIO!$C$12),"NOVEMBRO",IF(AND(C88&gt;=CALENDARIO!$B$13,C88&lt;=CALENDARIO!$C$13),"DEZEMBRO","-"))))))))))))</f>
        <v>-</v>
      </c>
      <c r="AM88" s="3" t="str">
        <f>RIGHT(LAN_OP[[#This Row],[OP/OS]],4)</f>
        <v/>
      </c>
    </row>
    <row r="89" spans="2:39" x14ac:dyDescent="0.3">
      <c r="B89" s="80"/>
      <c r="C89" s="140"/>
      <c r="G89"/>
      <c r="H89"/>
      <c r="I89" s="3"/>
      <c r="J89" s="3"/>
      <c r="K89" s="11" t="e">
        <f>LAN_OP[[#This Row],[VALOR FATURADO]]/LAN_OP[[#This Row],[VALOR CONTRATO]]</f>
        <v>#DIV/0!</v>
      </c>
      <c r="L89" s="4">
        <f>LAN_OP[[#This Row],[VALOR CONTRATO]]-LAN_OP[[#This Row],[VALOR FATURADO]]</f>
        <v>0</v>
      </c>
      <c r="M89" s="11" t="e">
        <v>#DIV/0!</v>
      </c>
      <c r="N89" s="138"/>
      <c r="O89" s="138"/>
      <c r="P89" s="11"/>
      <c r="Q89" s="141"/>
      <c r="R89" s="3"/>
      <c r="S89" s="4"/>
      <c r="T89" s="8" t="str">
        <f>IFERROR(VLOOKUP(LAN_OP[[#This Row],[OP/OS]],LANC_FAT!A:M,2,0),"-")</f>
        <v>-</v>
      </c>
      <c r="U89" s="139" t="str">
        <f>IFERROR(VLOOKUP(LAN_OP[[#This Row],[OP/OS]],LANC_FAT!A:M,8,0),"-")</f>
        <v>-</v>
      </c>
      <c r="V89" s="10">
        <f>SUMIF(LANC_FAT[OP/OS],LAN_OP[[#This Row],[OP/OS]],LANC_FAT[VALOR DA NF COM IMPOSTO])</f>
        <v>0</v>
      </c>
      <c r="W89" s="3"/>
      <c r="X89" s="10">
        <f>SUMIF(LANC_COMPRA[OP/OS],LAN_OP[[#This Row],[OP/OS]],LANC_COMPRA[[VALOR ]])</f>
        <v>0</v>
      </c>
      <c r="Y89" s="10">
        <f>SUMIF(LANC_HORAS[OP/OS],LAN_OP[[#This Row],[OP/OS]],LANC_HORAS[TOTAL GERAL NORMAL])</f>
        <v>0</v>
      </c>
      <c r="Z89" s="10">
        <f>SUMIF(LANC_HORAS[OP/OS],LAN_OP[[#This Row],[OP/OS]],LANC_HORAS[TOTAL GERAL EXTRAS])</f>
        <v>0</v>
      </c>
      <c r="AA89" s="12">
        <f>SUMIF(LANC_HORAS[OP/OS],LAN_OP[[#This Row],[OP/OS]],LANC_HORAS[TOTAL H.N])</f>
        <v>0</v>
      </c>
      <c r="AB89" s="12">
        <f>SUMIF(LANC_HORAS[OP/OS],LAN_OP[[#This Row],[OP/OS]],LANC_HORAS[TOTAL H.E])</f>
        <v>0</v>
      </c>
      <c r="AC89" s="10">
        <f>SUMIF(LANC_DESPESAS[OS/OP],LAN_OP[[#This Row],[OP/OS]],LANC_DESPESAS[OBSERVAÇÕES])</f>
        <v>0</v>
      </c>
      <c r="AD89" s="3">
        <f>SUMIF(LANC_DESLOC[OS/OP],LAN_OP[[#This Row],[OP/OS]],LANC_DESLOC[ANO])</f>
        <v>0</v>
      </c>
      <c r="AE89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89" s="3">
        <f>LAN_OP[[#This Row],[TOTAL PARCIAL (M.O+MT+DESP)]]*1.08</f>
        <v>0</v>
      </c>
      <c r="AG89" s="3">
        <f>LAN_OP[[#This Row],[TOTAL PARCIAL + OUTROS CUSTOS (8%)]]*1.09</f>
        <v>0</v>
      </c>
      <c r="AH89" t="str">
        <f>IF(AND(U89&gt;=CALENDARIO!$B$2,U89&lt;=CALENDARIO!$C$2),"JANEIRO",IF(AND(U89&gt;=CALENDARIO!$B$3,U89&lt;=CALENDARIO!$C$3),"FEVEREIRO",IF(AND(U89&gt;=CALENDARIO!$B$4,U89&lt;=CALENDARIO!$C$4),"MARÇO",IF(AND(U89&gt;=CALENDARIO!$B$5,U89&lt;=CALENDARIO!$C$5),"ABRIL",IF(AND(U89&gt;=CALENDARIO!$B$6,U89&lt;=CALENDARIO!$C$6),"MAIO",IF(AND(U89&gt;=CALENDARIO!$B$7,U89&lt;=CALENDARIO!$C$7),"JUNHO",IF(AND(U89&gt;=CALENDARIO!$B$8,U89&lt;=CALENDARIO!$C$8),"JULHO",IF(AND(U89&gt;=CALENDARIO!$B$9,U89&lt;=CALENDARIO!$C$9),"AGOSTO",IF(AND(U89&gt;=CALENDARIO!$B$10,U89&lt;=CALENDARIO!$C$10),"SETEMBRO",IF(AND(U89&gt;=CALENDARIO!$B$11,U89&lt;=CALENDARIO!$C$11),"OUTUBRO",IF(AND(U89&gt;=CALENDARIO!$B$12,U89&lt;=CALENDARIO!$C$12),"NOVEMBRO",IF(AND(U89&gt;=CALENDARIO!$B$13,U89&lt;=CALENDARIO!$C$13),"DEZEMBRO","-"))))))))))))</f>
        <v>-</v>
      </c>
      <c r="AI89" s="3">
        <f>LAN_OP[[#This Row],[VALOR CONTRATO]]-LAN_OP[[#This Row],[TOTAL CUSTO (O.C + DI + MT + MO+DESP)]]</f>
        <v>0</v>
      </c>
      <c r="AJ89" s="11" t="str">
        <f>IFERROR(LAN_OP[[#This Row],[R$ (CONTRATO - CUSTOS)]]/LAN_OP[[#This Row],[VALOR CONTRATO]],"")</f>
        <v/>
      </c>
      <c r="AK89" s="3">
        <f>LAN_OP[[#This Row],[VALOR CONTRATO]]-LAN_OP[[#This Row],[VALOR FATURADO]]</f>
        <v>0</v>
      </c>
      <c r="AL89" s="3" t="str">
        <f>IF(AND(C89&gt;=CALENDARIO!$B$2,C89&lt;=CALENDARIO!$C$2),"JANEIRO",IF(AND(C89&gt;=CALENDARIO!$B$3,C89&lt;=CALENDARIO!$C$3),"FEVEREIRO",IF(AND(C89&gt;=CALENDARIO!$B$4,C89&lt;=CALENDARIO!$C$4),"MARÇO",IF(AND(C89&gt;=CALENDARIO!$B$5,C89&lt;=CALENDARIO!$C$5),"ABRIL",IF(AND(C89&gt;=CALENDARIO!$B$6,C89&lt;=CALENDARIO!$C$6),"MAIO",IF(AND(C89&gt;=CALENDARIO!$B$7,C89&lt;=CALENDARIO!$C$7),"JUNHO",IF(AND(C89&gt;=CALENDARIO!$B$8,C89&lt;=CALENDARIO!$C$8),"JULHO",IF(AND(C89&gt;=CALENDARIO!$B$9,C89&lt;=CALENDARIO!$C$9),"AGOSTO",IF(AND(C89&gt;=CALENDARIO!$B$10,C89&lt;=CALENDARIO!$C$10),"SETEMBRO",IF(AND(C89&gt;=CALENDARIO!$B$11,C89&lt;=CALENDARIO!$C$11),"OUTUBRO",IF(AND(C89&gt;=CALENDARIO!$B$12,C89&lt;=CALENDARIO!$C$12),"NOVEMBRO",IF(AND(C89&gt;=CALENDARIO!$B$13,C89&lt;=CALENDARIO!$C$13),"DEZEMBRO","-"))))))))))))</f>
        <v>-</v>
      </c>
      <c r="AM89" s="3" t="str">
        <f>RIGHT(LAN_OP[[#This Row],[OP/OS]],4)</f>
        <v/>
      </c>
    </row>
    <row r="90" spans="2:39" x14ac:dyDescent="0.3">
      <c r="B90" s="80"/>
      <c r="C90" s="140"/>
      <c r="G90"/>
      <c r="H90"/>
      <c r="I90" s="3"/>
      <c r="J90" s="3"/>
      <c r="K90" s="11" t="e">
        <f>LAN_OP[[#This Row],[VALOR FATURADO]]/LAN_OP[[#This Row],[VALOR CONTRATO]]</f>
        <v>#DIV/0!</v>
      </c>
      <c r="L90" s="4">
        <f>LAN_OP[[#This Row],[VALOR CONTRATO]]-LAN_OP[[#This Row],[VALOR FATURADO]]</f>
        <v>0</v>
      </c>
      <c r="M90" s="11" t="e">
        <v>#DIV/0!</v>
      </c>
      <c r="N90" s="138"/>
      <c r="O90" s="138"/>
      <c r="P90" s="11"/>
      <c r="Q90" s="141"/>
      <c r="R90" s="3"/>
      <c r="S90" s="4"/>
      <c r="T90" s="8" t="str">
        <f>IFERROR(VLOOKUP(LAN_OP[[#This Row],[OP/OS]],LANC_FAT!A:M,2,0),"-")</f>
        <v>-</v>
      </c>
      <c r="U90" s="139" t="str">
        <f>IFERROR(VLOOKUP(LAN_OP[[#This Row],[OP/OS]],LANC_FAT!A:M,8,0),"-")</f>
        <v>-</v>
      </c>
      <c r="V90" s="10">
        <f>SUMIF(LANC_FAT[OP/OS],LAN_OP[[#This Row],[OP/OS]],LANC_FAT[VALOR DA NF COM IMPOSTO])</f>
        <v>0</v>
      </c>
      <c r="W90" s="3"/>
      <c r="X90" s="10">
        <f>SUMIF(LANC_COMPRA[OP/OS],LAN_OP[[#This Row],[OP/OS]],LANC_COMPRA[[VALOR ]])</f>
        <v>0</v>
      </c>
      <c r="Y90" s="10">
        <f>SUMIF(LANC_HORAS[OP/OS],LAN_OP[[#This Row],[OP/OS]],LANC_HORAS[TOTAL GERAL NORMAL])</f>
        <v>0</v>
      </c>
      <c r="Z90" s="10">
        <f>SUMIF(LANC_HORAS[OP/OS],LAN_OP[[#This Row],[OP/OS]],LANC_HORAS[TOTAL GERAL EXTRAS])</f>
        <v>0</v>
      </c>
      <c r="AA90" s="12">
        <f>SUMIF(LANC_HORAS[OP/OS],LAN_OP[[#This Row],[OP/OS]],LANC_HORAS[TOTAL H.N])</f>
        <v>0</v>
      </c>
      <c r="AB90" s="12">
        <f>SUMIF(LANC_HORAS[OP/OS],LAN_OP[[#This Row],[OP/OS]],LANC_HORAS[TOTAL H.E])</f>
        <v>0</v>
      </c>
      <c r="AC90" s="10">
        <f>SUMIF(LANC_DESPESAS[OS/OP],LAN_OP[[#This Row],[OP/OS]],LANC_DESPESAS[OBSERVAÇÕES])</f>
        <v>0</v>
      </c>
      <c r="AD90" s="3">
        <f>SUMIF(LANC_DESLOC[OS/OP],LAN_OP[[#This Row],[OP/OS]],LANC_DESLOC[ANO])</f>
        <v>0</v>
      </c>
      <c r="AE90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0" s="3">
        <f>LAN_OP[[#This Row],[TOTAL PARCIAL (M.O+MT+DESP)]]*1.08</f>
        <v>0</v>
      </c>
      <c r="AG90" s="3">
        <f>LAN_OP[[#This Row],[TOTAL PARCIAL + OUTROS CUSTOS (8%)]]*1.09</f>
        <v>0</v>
      </c>
      <c r="AH90" t="str">
        <f>IF(AND(U90&gt;=CALENDARIO!$B$2,U90&lt;=CALENDARIO!$C$2),"JANEIRO",IF(AND(U90&gt;=CALENDARIO!$B$3,U90&lt;=CALENDARIO!$C$3),"FEVEREIRO",IF(AND(U90&gt;=CALENDARIO!$B$4,U90&lt;=CALENDARIO!$C$4),"MARÇO",IF(AND(U90&gt;=CALENDARIO!$B$5,U90&lt;=CALENDARIO!$C$5),"ABRIL",IF(AND(U90&gt;=CALENDARIO!$B$6,U90&lt;=CALENDARIO!$C$6),"MAIO",IF(AND(U90&gt;=CALENDARIO!$B$7,U90&lt;=CALENDARIO!$C$7),"JUNHO",IF(AND(U90&gt;=CALENDARIO!$B$8,U90&lt;=CALENDARIO!$C$8),"JULHO",IF(AND(U90&gt;=CALENDARIO!$B$9,U90&lt;=CALENDARIO!$C$9),"AGOSTO",IF(AND(U90&gt;=CALENDARIO!$B$10,U90&lt;=CALENDARIO!$C$10),"SETEMBRO",IF(AND(U90&gt;=CALENDARIO!$B$11,U90&lt;=CALENDARIO!$C$11),"OUTUBRO",IF(AND(U90&gt;=CALENDARIO!$B$12,U90&lt;=CALENDARIO!$C$12),"NOVEMBRO",IF(AND(U90&gt;=CALENDARIO!$B$13,U90&lt;=CALENDARIO!$C$13),"DEZEMBRO","-"))))))))))))</f>
        <v>-</v>
      </c>
      <c r="AI90" s="3">
        <f>LAN_OP[[#This Row],[VALOR CONTRATO]]-LAN_OP[[#This Row],[TOTAL CUSTO (O.C + DI + MT + MO+DESP)]]</f>
        <v>0</v>
      </c>
      <c r="AJ90" s="11" t="str">
        <f>IFERROR(LAN_OP[[#This Row],[R$ (CONTRATO - CUSTOS)]]/LAN_OP[[#This Row],[VALOR CONTRATO]],"")</f>
        <v/>
      </c>
      <c r="AK90" s="3">
        <f>LAN_OP[[#This Row],[VALOR CONTRATO]]-LAN_OP[[#This Row],[VALOR FATURADO]]</f>
        <v>0</v>
      </c>
      <c r="AL90" s="3" t="str">
        <f>IF(AND(C90&gt;=CALENDARIO!$B$2,C90&lt;=CALENDARIO!$C$2),"JANEIRO",IF(AND(C90&gt;=CALENDARIO!$B$3,C90&lt;=CALENDARIO!$C$3),"FEVEREIRO",IF(AND(C90&gt;=CALENDARIO!$B$4,C90&lt;=CALENDARIO!$C$4),"MARÇO",IF(AND(C90&gt;=CALENDARIO!$B$5,C90&lt;=CALENDARIO!$C$5),"ABRIL",IF(AND(C90&gt;=CALENDARIO!$B$6,C90&lt;=CALENDARIO!$C$6),"MAIO",IF(AND(C90&gt;=CALENDARIO!$B$7,C90&lt;=CALENDARIO!$C$7),"JUNHO",IF(AND(C90&gt;=CALENDARIO!$B$8,C90&lt;=CALENDARIO!$C$8),"JULHO",IF(AND(C90&gt;=CALENDARIO!$B$9,C90&lt;=CALENDARIO!$C$9),"AGOSTO",IF(AND(C90&gt;=CALENDARIO!$B$10,C90&lt;=CALENDARIO!$C$10),"SETEMBRO",IF(AND(C90&gt;=CALENDARIO!$B$11,C90&lt;=CALENDARIO!$C$11),"OUTUBRO",IF(AND(C90&gt;=CALENDARIO!$B$12,C90&lt;=CALENDARIO!$C$12),"NOVEMBRO",IF(AND(C90&gt;=CALENDARIO!$B$13,C90&lt;=CALENDARIO!$C$13),"DEZEMBRO","-"))))))))))))</f>
        <v>-</v>
      </c>
      <c r="AM90" s="3" t="str">
        <f>RIGHT(LAN_OP[[#This Row],[OP/OS]],4)</f>
        <v/>
      </c>
    </row>
    <row r="91" spans="2:39" x14ac:dyDescent="0.3">
      <c r="B91" s="80"/>
      <c r="C91" s="140"/>
      <c r="G91"/>
      <c r="H91"/>
      <c r="I91" s="3"/>
      <c r="J91" s="3"/>
      <c r="K91" s="11" t="e">
        <f>LAN_OP[[#This Row],[VALOR FATURADO]]/LAN_OP[[#This Row],[VALOR CONTRATO]]</f>
        <v>#DIV/0!</v>
      </c>
      <c r="L91" s="4">
        <f>LAN_OP[[#This Row],[VALOR CONTRATO]]-LAN_OP[[#This Row],[VALOR FATURADO]]</f>
        <v>0</v>
      </c>
      <c r="M91" s="11" t="e">
        <v>#DIV/0!</v>
      </c>
      <c r="N91" s="138"/>
      <c r="O91" s="138"/>
      <c r="P91" s="11"/>
      <c r="Q91" s="141"/>
      <c r="R91" s="3"/>
      <c r="S91" s="4"/>
      <c r="T91" s="8" t="str">
        <f>IFERROR(VLOOKUP(LAN_OP[[#This Row],[OP/OS]],LANC_FAT!A:M,2,0),"-")</f>
        <v>-</v>
      </c>
      <c r="U91" s="139" t="str">
        <f>IFERROR(VLOOKUP(LAN_OP[[#This Row],[OP/OS]],LANC_FAT!A:M,8,0),"-")</f>
        <v>-</v>
      </c>
      <c r="V91" s="10">
        <f>SUMIF(LANC_FAT[OP/OS],LAN_OP[[#This Row],[OP/OS]],LANC_FAT[VALOR DA NF COM IMPOSTO])</f>
        <v>0</v>
      </c>
      <c r="W91" s="3"/>
      <c r="X91" s="10">
        <f>SUMIF(LANC_COMPRA[OP/OS],LAN_OP[[#This Row],[OP/OS]],LANC_COMPRA[[VALOR ]])</f>
        <v>0</v>
      </c>
      <c r="Y91" s="10">
        <f>SUMIF(LANC_HORAS[OP/OS],LAN_OP[[#This Row],[OP/OS]],LANC_HORAS[TOTAL GERAL NORMAL])</f>
        <v>0</v>
      </c>
      <c r="Z91" s="10">
        <f>SUMIF(LANC_HORAS[OP/OS],LAN_OP[[#This Row],[OP/OS]],LANC_HORAS[TOTAL GERAL EXTRAS])</f>
        <v>0</v>
      </c>
      <c r="AA91" s="12">
        <f>SUMIF(LANC_HORAS[OP/OS],LAN_OP[[#This Row],[OP/OS]],LANC_HORAS[TOTAL H.N])</f>
        <v>0</v>
      </c>
      <c r="AB91" s="12">
        <f>SUMIF(LANC_HORAS[OP/OS],LAN_OP[[#This Row],[OP/OS]],LANC_HORAS[TOTAL H.E])</f>
        <v>0</v>
      </c>
      <c r="AC91" s="10">
        <f>SUMIF(LANC_DESPESAS[OS/OP],LAN_OP[[#This Row],[OP/OS]],LANC_DESPESAS[OBSERVAÇÕES])</f>
        <v>0</v>
      </c>
      <c r="AD91" s="3">
        <f>SUMIF(LANC_DESLOC[OS/OP],LAN_OP[[#This Row],[OP/OS]],LANC_DESLOC[ANO])</f>
        <v>0</v>
      </c>
      <c r="AE91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1" s="3">
        <f>LAN_OP[[#This Row],[TOTAL PARCIAL (M.O+MT+DESP)]]*1.08</f>
        <v>0</v>
      </c>
      <c r="AG91" s="3">
        <f>LAN_OP[[#This Row],[TOTAL PARCIAL + OUTROS CUSTOS (8%)]]*1.09</f>
        <v>0</v>
      </c>
      <c r="AH91" t="str">
        <f>IF(AND(U91&gt;=CALENDARIO!$B$2,U91&lt;=CALENDARIO!$C$2),"JANEIRO",IF(AND(U91&gt;=CALENDARIO!$B$3,U91&lt;=CALENDARIO!$C$3),"FEVEREIRO",IF(AND(U91&gt;=CALENDARIO!$B$4,U91&lt;=CALENDARIO!$C$4),"MARÇO",IF(AND(U91&gt;=CALENDARIO!$B$5,U91&lt;=CALENDARIO!$C$5),"ABRIL",IF(AND(U91&gt;=CALENDARIO!$B$6,U91&lt;=CALENDARIO!$C$6),"MAIO",IF(AND(U91&gt;=CALENDARIO!$B$7,U91&lt;=CALENDARIO!$C$7),"JUNHO",IF(AND(U91&gt;=CALENDARIO!$B$8,U91&lt;=CALENDARIO!$C$8),"JULHO",IF(AND(U91&gt;=CALENDARIO!$B$9,U91&lt;=CALENDARIO!$C$9),"AGOSTO",IF(AND(U91&gt;=CALENDARIO!$B$10,U91&lt;=CALENDARIO!$C$10),"SETEMBRO",IF(AND(U91&gt;=CALENDARIO!$B$11,U91&lt;=CALENDARIO!$C$11),"OUTUBRO",IF(AND(U91&gt;=CALENDARIO!$B$12,U91&lt;=CALENDARIO!$C$12),"NOVEMBRO",IF(AND(U91&gt;=CALENDARIO!$B$13,U91&lt;=CALENDARIO!$C$13),"DEZEMBRO","-"))))))))))))</f>
        <v>-</v>
      </c>
      <c r="AI91" s="3">
        <f>LAN_OP[[#This Row],[VALOR CONTRATO]]-LAN_OP[[#This Row],[TOTAL CUSTO (O.C + DI + MT + MO+DESP)]]</f>
        <v>0</v>
      </c>
      <c r="AJ91" s="11" t="str">
        <f>IFERROR(LAN_OP[[#This Row],[R$ (CONTRATO - CUSTOS)]]/LAN_OP[[#This Row],[VALOR CONTRATO]],"")</f>
        <v/>
      </c>
      <c r="AK91" s="3">
        <f>LAN_OP[[#This Row],[VALOR CONTRATO]]-LAN_OP[[#This Row],[VALOR FATURADO]]</f>
        <v>0</v>
      </c>
      <c r="AL91" s="3" t="str">
        <f>IF(AND(C91&gt;=CALENDARIO!$B$2,C91&lt;=CALENDARIO!$C$2),"JANEIRO",IF(AND(C91&gt;=CALENDARIO!$B$3,C91&lt;=CALENDARIO!$C$3),"FEVEREIRO",IF(AND(C91&gt;=CALENDARIO!$B$4,C91&lt;=CALENDARIO!$C$4),"MARÇO",IF(AND(C91&gt;=CALENDARIO!$B$5,C91&lt;=CALENDARIO!$C$5),"ABRIL",IF(AND(C91&gt;=CALENDARIO!$B$6,C91&lt;=CALENDARIO!$C$6),"MAIO",IF(AND(C91&gt;=CALENDARIO!$B$7,C91&lt;=CALENDARIO!$C$7),"JUNHO",IF(AND(C91&gt;=CALENDARIO!$B$8,C91&lt;=CALENDARIO!$C$8),"JULHO",IF(AND(C91&gt;=CALENDARIO!$B$9,C91&lt;=CALENDARIO!$C$9),"AGOSTO",IF(AND(C91&gt;=CALENDARIO!$B$10,C91&lt;=CALENDARIO!$C$10),"SETEMBRO",IF(AND(C91&gt;=CALENDARIO!$B$11,C91&lt;=CALENDARIO!$C$11),"OUTUBRO",IF(AND(C91&gt;=CALENDARIO!$B$12,C91&lt;=CALENDARIO!$C$12),"NOVEMBRO",IF(AND(C91&gt;=CALENDARIO!$B$13,C91&lt;=CALENDARIO!$C$13),"DEZEMBRO","-"))))))))))))</f>
        <v>-</v>
      </c>
      <c r="AM91" s="3" t="str">
        <f>RIGHT(LAN_OP[[#This Row],[OP/OS]],4)</f>
        <v/>
      </c>
    </row>
    <row r="92" spans="2:39" x14ac:dyDescent="0.3">
      <c r="B92" s="80"/>
      <c r="C92" s="140"/>
      <c r="G92"/>
      <c r="H92"/>
      <c r="I92" s="3"/>
      <c r="J92" s="3"/>
      <c r="K92" s="11" t="e">
        <f>LAN_OP[[#This Row],[VALOR FATURADO]]/LAN_OP[[#This Row],[VALOR CONTRATO]]</f>
        <v>#DIV/0!</v>
      </c>
      <c r="L92" s="4">
        <f>LAN_OP[[#This Row],[VALOR CONTRATO]]-LAN_OP[[#This Row],[VALOR FATURADO]]</f>
        <v>0</v>
      </c>
      <c r="M92" s="11" t="e">
        <v>#DIV/0!</v>
      </c>
      <c r="N92" s="138"/>
      <c r="O92" s="138"/>
      <c r="P92" s="11"/>
      <c r="Q92" s="141"/>
      <c r="R92" s="3"/>
      <c r="S92" s="4"/>
      <c r="T92" s="8" t="str">
        <f>IFERROR(VLOOKUP(LAN_OP[[#This Row],[OP/OS]],LANC_FAT!A:M,2,0),"-")</f>
        <v>-</v>
      </c>
      <c r="U92" s="139" t="str">
        <f>IFERROR(VLOOKUP(LAN_OP[[#This Row],[OP/OS]],LANC_FAT!A:M,8,0),"-")</f>
        <v>-</v>
      </c>
      <c r="V92" s="10">
        <f>SUMIF(LANC_FAT[OP/OS],LAN_OP[[#This Row],[OP/OS]],LANC_FAT[VALOR DA NF COM IMPOSTO])</f>
        <v>0</v>
      </c>
      <c r="W92" s="3"/>
      <c r="X92" s="10">
        <f>SUMIF(LANC_COMPRA[OP/OS],LAN_OP[[#This Row],[OP/OS]],LANC_COMPRA[[VALOR ]])</f>
        <v>0</v>
      </c>
      <c r="Y92" s="10">
        <f>SUMIF(LANC_HORAS[OP/OS],LAN_OP[[#This Row],[OP/OS]],LANC_HORAS[TOTAL GERAL NORMAL])</f>
        <v>0</v>
      </c>
      <c r="Z92" s="10">
        <f>SUMIF(LANC_HORAS[OP/OS],LAN_OP[[#This Row],[OP/OS]],LANC_HORAS[TOTAL GERAL EXTRAS])</f>
        <v>0</v>
      </c>
      <c r="AA92" s="12">
        <f>SUMIF(LANC_HORAS[OP/OS],LAN_OP[[#This Row],[OP/OS]],LANC_HORAS[TOTAL H.N])</f>
        <v>0</v>
      </c>
      <c r="AB92" s="12">
        <f>SUMIF(LANC_HORAS[OP/OS],LAN_OP[[#This Row],[OP/OS]],LANC_HORAS[TOTAL H.E])</f>
        <v>0</v>
      </c>
      <c r="AC92" s="10">
        <f>SUMIF(LANC_DESPESAS[OS/OP],LAN_OP[[#This Row],[OP/OS]],LANC_DESPESAS[OBSERVAÇÕES])</f>
        <v>0</v>
      </c>
      <c r="AD92" s="3">
        <f>SUMIF(LANC_DESLOC[OS/OP],LAN_OP[[#This Row],[OP/OS]],LANC_DESLOC[ANO])</f>
        <v>0</v>
      </c>
      <c r="AE92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2" s="3">
        <f>LAN_OP[[#This Row],[TOTAL PARCIAL (M.O+MT+DESP)]]*1.08</f>
        <v>0</v>
      </c>
      <c r="AG92" s="3">
        <f>LAN_OP[[#This Row],[TOTAL PARCIAL + OUTROS CUSTOS (8%)]]*1.09</f>
        <v>0</v>
      </c>
      <c r="AH92" t="str">
        <f>IF(AND(U92&gt;=CALENDARIO!$B$2,U92&lt;=CALENDARIO!$C$2),"JANEIRO",IF(AND(U92&gt;=CALENDARIO!$B$3,U92&lt;=CALENDARIO!$C$3),"FEVEREIRO",IF(AND(U92&gt;=CALENDARIO!$B$4,U92&lt;=CALENDARIO!$C$4),"MARÇO",IF(AND(U92&gt;=CALENDARIO!$B$5,U92&lt;=CALENDARIO!$C$5),"ABRIL",IF(AND(U92&gt;=CALENDARIO!$B$6,U92&lt;=CALENDARIO!$C$6),"MAIO",IF(AND(U92&gt;=CALENDARIO!$B$7,U92&lt;=CALENDARIO!$C$7),"JUNHO",IF(AND(U92&gt;=CALENDARIO!$B$8,U92&lt;=CALENDARIO!$C$8),"JULHO",IF(AND(U92&gt;=CALENDARIO!$B$9,U92&lt;=CALENDARIO!$C$9),"AGOSTO",IF(AND(U92&gt;=CALENDARIO!$B$10,U92&lt;=CALENDARIO!$C$10),"SETEMBRO",IF(AND(U92&gt;=CALENDARIO!$B$11,U92&lt;=CALENDARIO!$C$11),"OUTUBRO",IF(AND(U92&gt;=CALENDARIO!$B$12,U92&lt;=CALENDARIO!$C$12),"NOVEMBRO",IF(AND(U92&gt;=CALENDARIO!$B$13,U92&lt;=CALENDARIO!$C$13),"DEZEMBRO","-"))))))))))))</f>
        <v>-</v>
      </c>
      <c r="AI92" s="3">
        <f>LAN_OP[[#This Row],[VALOR CONTRATO]]-LAN_OP[[#This Row],[TOTAL CUSTO (O.C + DI + MT + MO+DESP)]]</f>
        <v>0</v>
      </c>
      <c r="AJ92" s="11" t="str">
        <f>IFERROR(LAN_OP[[#This Row],[R$ (CONTRATO - CUSTOS)]]/LAN_OP[[#This Row],[VALOR CONTRATO]],"")</f>
        <v/>
      </c>
      <c r="AK92" s="3">
        <f>LAN_OP[[#This Row],[VALOR CONTRATO]]-LAN_OP[[#This Row],[VALOR FATURADO]]</f>
        <v>0</v>
      </c>
      <c r="AL92" s="3" t="str">
        <f>IF(AND(C92&gt;=CALENDARIO!$B$2,C92&lt;=CALENDARIO!$C$2),"JANEIRO",IF(AND(C92&gt;=CALENDARIO!$B$3,C92&lt;=CALENDARIO!$C$3),"FEVEREIRO",IF(AND(C92&gt;=CALENDARIO!$B$4,C92&lt;=CALENDARIO!$C$4),"MARÇO",IF(AND(C92&gt;=CALENDARIO!$B$5,C92&lt;=CALENDARIO!$C$5),"ABRIL",IF(AND(C92&gt;=CALENDARIO!$B$6,C92&lt;=CALENDARIO!$C$6),"MAIO",IF(AND(C92&gt;=CALENDARIO!$B$7,C92&lt;=CALENDARIO!$C$7),"JUNHO",IF(AND(C92&gt;=CALENDARIO!$B$8,C92&lt;=CALENDARIO!$C$8),"JULHO",IF(AND(C92&gt;=CALENDARIO!$B$9,C92&lt;=CALENDARIO!$C$9),"AGOSTO",IF(AND(C92&gt;=CALENDARIO!$B$10,C92&lt;=CALENDARIO!$C$10),"SETEMBRO",IF(AND(C92&gt;=CALENDARIO!$B$11,C92&lt;=CALENDARIO!$C$11),"OUTUBRO",IF(AND(C92&gt;=CALENDARIO!$B$12,C92&lt;=CALENDARIO!$C$12),"NOVEMBRO",IF(AND(C92&gt;=CALENDARIO!$B$13,C92&lt;=CALENDARIO!$C$13),"DEZEMBRO","-"))))))))))))</f>
        <v>-</v>
      </c>
      <c r="AM92" s="3" t="str">
        <f>RIGHT(LAN_OP[[#This Row],[OP/OS]],4)</f>
        <v/>
      </c>
    </row>
    <row r="93" spans="2:39" x14ac:dyDescent="0.3">
      <c r="B93" s="80"/>
      <c r="C93" s="140"/>
      <c r="G93"/>
      <c r="H93"/>
      <c r="I93" s="3"/>
      <c r="J93" s="3"/>
      <c r="K93" s="11" t="e">
        <f>LAN_OP[[#This Row],[VALOR FATURADO]]/LAN_OP[[#This Row],[VALOR CONTRATO]]</f>
        <v>#DIV/0!</v>
      </c>
      <c r="L93" s="4">
        <f>LAN_OP[[#This Row],[VALOR CONTRATO]]-LAN_OP[[#This Row],[VALOR FATURADO]]</f>
        <v>0</v>
      </c>
      <c r="M93" s="11" t="e">
        <v>#DIV/0!</v>
      </c>
      <c r="N93" s="138"/>
      <c r="O93" s="138"/>
      <c r="P93" s="11"/>
      <c r="Q93" s="141"/>
      <c r="R93" s="3"/>
      <c r="S93" s="4"/>
      <c r="T93" s="8" t="str">
        <f>IFERROR(VLOOKUP(LAN_OP[[#This Row],[OP/OS]],LANC_FAT!A:M,2,0),"-")</f>
        <v>-</v>
      </c>
      <c r="U93" s="139" t="str">
        <f>IFERROR(VLOOKUP(LAN_OP[[#This Row],[OP/OS]],LANC_FAT!A:M,8,0),"-")</f>
        <v>-</v>
      </c>
      <c r="V93" s="10">
        <f>SUMIF(LANC_FAT[OP/OS],LAN_OP[[#This Row],[OP/OS]],LANC_FAT[VALOR DA NF COM IMPOSTO])</f>
        <v>0</v>
      </c>
      <c r="W93" s="3"/>
      <c r="X93" s="10">
        <f>SUMIF(LANC_COMPRA[OP/OS],LAN_OP[[#This Row],[OP/OS]],LANC_COMPRA[[VALOR ]])</f>
        <v>0</v>
      </c>
      <c r="Y93" s="10">
        <f>SUMIF(LANC_HORAS[OP/OS],LAN_OP[[#This Row],[OP/OS]],LANC_HORAS[TOTAL GERAL NORMAL])</f>
        <v>0</v>
      </c>
      <c r="Z93" s="10">
        <f>SUMIF(LANC_HORAS[OP/OS],LAN_OP[[#This Row],[OP/OS]],LANC_HORAS[TOTAL GERAL EXTRAS])</f>
        <v>0</v>
      </c>
      <c r="AA93" s="12">
        <f>SUMIF(LANC_HORAS[OP/OS],LAN_OP[[#This Row],[OP/OS]],LANC_HORAS[TOTAL H.N])</f>
        <v>0</v>
      </c>
      <c r="AB93" s="12">
        <f>SUMIF(LANC_HORAS[OP/OS],LAN_OP[[#This Row],[OP/OS]],LANC_HORAS[TOTAL H.E])</f>
        <v>0</v>
      </c>
      <c r="AC93" s="10">
        <f>SUMIF(LANC_DESPESAS[OS/OP],LAN_OP[[#This Row],[OP/OS]],LANC_DESPESAS[OBSERVAÇÕES])</f>
        <v>0</v>
      </c>
      <c r="AD93" s="3">
        <f>SUMIF(LANC_DESLOC[OS/OP],LAN_OP[[#This Row],[OP/OS]],LANC_DESLOC[ANO])</f>
        <v>0</v>
      </c>
      <c r="AE93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3" s="3">
        <f>LAN_OP[[#This Row],[TOTAL PARCIAL (M.O+MT+DESP)]]*1.08</f>
        <v>0</v>
      </c>
      <c r="AG93" s="3">
        <f>LAN_OP[[#This Row],[TOTAL PARCIAL + OUTROS CUSTOS (8%)]]*1.09</f>
        <v>0</v>
      </c>
      <c r="AH93" t="str">
        <f>IF(AND(U93&gt;=CALENDARIO!$B$2,U93&lt;=CALENDARIO!$C$2),"JANEIRO",IF(AND(U93&gt;=CALENDARIO!$B$3,U93&lt;=CALENDARIO!$C$3),"FEVEREIRO",IF(AND(U93&gt;=CALENDARIO!$B$4,U93&lt;=CALENDARIO!$C$4),"MARÇO",IF(AND(U93&gt;=CALENDARIO!$B$5,U93&lt;=CALENDARIO!$C$5),"ABRIL",IF(AND(U93&gt;=CALENDARIO!$B$6,U93&lt;=CALENDARIO!$C$6),"MAIO",IF(AND(U93&gt;=CALENDARIO!$B$7,U93&lt;=CALENDARIO!$C$7),"JUNHO",IF(AND(U93&gt;=CALENDARIO!$B$8,U93&lt;=CALENDARIO!$C$8),"JULHO",IF(AND(U93&gt;=CALENDARIO!$B$9,U93&lt;=CALENDARIO!$C$9),"AGOSTO",IF(AND(U93&gt;=CALENDARIO!$B$10,U93&lt;=CALENDARIO!$C$10),"SETEMBRO",IF(AND(U93&gt;=CALENDARIO!$B$11,U93&lt;=CALENDARIO!$C$11),"OUTUBRO",IF(AND(U93&gt;=CALENDARIO!$B$12,U93&lt;=CALENDARIO!$C$12),"NOVEMBRO",IF(AND(U93&gt;=CALENDARIO!$B$13,U93&lt;=CALENDARIO!$C$13),"DEZEMBRO","-"))))))))))))</f>
        <v>-</v>
      </c>
      <c r="AI93" s="3">
        <f>LAN_OP[[#This Row],[VALOR CONTRATO]]-LAN_OP[[#This Row],[TOTAL CUSTO (O.C + DI + MT + MO+DESP)]]</f>
        <v>0</v>
      </c>
      <c r="AJ93" s="11" t="str">
        <f>IFERROR(LAN_OP[[#This Row],[R$ (CONTRATO - CUSTOS)]]/LAN_OP[[#This Row],[VALOR CONTRATO]],"")</f>
        <v/>
      </c>
      <c r="AK93" s="3">
        <f>LAN_OP[[#This Row],[VALOR CONTRATO]]-LAN_OP[[#This Row],[VALOR FATURADO]]</f>
        <v>0</v>
      </c>
      <c r="AL93" s="3" t="str">
        <f>IF(AND(C93&gt;=CALENDARIO!$B$2,C93&lt;=CALENDARIO!$C$2),"JANEIRO",IF(AND(C93&gt;=CALENDARIO!$B$3,C93&lt;=CALENDARIO!$C$3),"FEVEREIRO",IF(AND(C93&gt;=CALENDARIO!$B$4,C93&lt;=CALENDARIO!$C$4),"MARÇO",IF(AND(C93&gt;=CALENDARIO!$B$5,C93&lt;=CALENDARIO!$C$5),"ABRIL",IF(AND(C93&gt;=CALENDARIO!$B$6,C93&lt;=CALENDARIO!$C$6),"MAIO",IF(AND(C93&gt;=CALENDARIO!$B$7,C93&lt;=CALENDARIO!$C$7),"JUNHO",IF(AND(C93&gt;=CALENDARIO!$B$8,C93&lt;=CALENDARIO!$C$8),"JULHO",IF(AND(C93&gt;=CALENDARIO!$B$9,C93&lt;=CALENDARIO!$C$9),"AGOSTO",IF(AND(C93&gt;=CALENDARIO!$B$10,C93&lt;=CALENDARIO!$C$10),"SETEMBRO",IF(AND(C93&gt;=CALENDARIO!$B$11,C93&lt;=CALENDARIO!$C$11),"OUTUBRO",IF(AND(C93&gt;=CALENDARIO!$B$12,C93&lt;=CALENDARIO!$C$12),"NOVEMBRO",IF(AND(C93&gt;=CALENDARIO!$B$13,C93&lt;=CALENDARIO!$C$13),"DEZEMBRO","-"))))))))))))</f>
        <v>-</v>
      </c>
      <c r="AM93" s="3" t="str">
        <f>RIGHT(LAN_OP[[#This Row],[OP/OS]],4)</f>
        <v/>
      </c>
    </row>
    <row r="94" spans="2:39" x14ac:dyDescent="0.3">
      <c r="B94" s="80"/>
      <c r="C94" s="140"/>
      <c r="G94"/>
      <c r="H94"/>
      <c r="I94" s="3"/>
      <c r="J94" s="3"/>
      <c r="K94" s="11" t="e">
        <f>LAN_OP[[#This Row],[VALOR FATURADO]]/LAN_OP[[#This Row],[VALOR CONTRATO]]</f>
        <v>#DIV/0!</v>
      </c>
      <c r="L94" s="4">
        <f>LAN_OP[[#This Row],[VALOR CONTRATO]]-LAN_OP[[#This Row],[VALOR FATURADO]]</f>
        <v>0</v>
      </c>
      <c r="M94" s="11" t="e">
        <v>#DIV/0!</v>
      </c>
      <c r="N94" s="138"/>
      <c r="O94" s="138"/>
      <c r="P94" s="11"/>
      <c r="Q94" s="141"/>
      <c r="R94" s="3"/>
      <c r="S94" s="4"/>
      <c r="T94" s="8" t="str">
        <f>IFERROR(VLOOKUP(LAN_OP[[#This Row],[OP/OS]],LANC_FAT!A:M,2,0),"-")</f>
        <v>-</v>
      </c>
      <c r="U94" s="139" t="str">
        <f>IFERROR(VLOOKUP(LAN_OP[[#This Row],[OP/OS]],LANC_FAT!A:M,8,0),"-")</f>
        <v>-</v>
      </c>
      <c r="V94" s="10">
        <f>SUMIF(LANC_FAT[OP/OS],LAN_OP[[#This Row],[OP/OS]],LANC_FAT[VALOR DA NF COM IMPOSTO])</f>
        <v>0</v>
      </c>
      <c r="W94" s="3"/>
      <c r="X94" s="10">
        <f>SUMIF(LANC_COMPRA[OP/OS],LAN_OP[[#This Row],[OP/OS]],LANC_COMPRA[[VALOR ]])</f>
        <v>0</v>
      </c>
      <c r="Y94" s="10">
        <f>SUMIF(LANC_HORAS[OP/OS],LAN_OP[[#This Row],[OP/OS]],LANC_HORAS[TOTAL GERAL NORMAL])</f>
        <v>0</v>
      </c>
      <c r="Z94" s="10">
        <f>SUMIF(LANC_HORAS[OP/OS],LAN_OP[[#This Row],[OP/OS]],LANC_HORAS[TOTAL GERAL EXTRAS])</f>
        <v>0</v>
      </c>
      <c r="AA94" s="12">
        <f>SUMIF(LANC_HORAS[OP/OS],LAN_OP[[#This Row],[OP/OS]],LANC_HORAS[TOTAL H.N])</f>
        <v>0</v>
      </c>
      <c r="AB94" s="12">
        <f>SUMIF(LANC_HORAS[OP/OS],LAN_OP[[#This Row],[OP/OS]],LANC_HORAS[TOTAL H.E])</f>
        <v>0</v>
      </c>
      <c r="AC94" s="10">
        <f>SUMIF(LANC_DESPESAS[OS/OP],LAN_OP[[#This Row],[OP/OS]],LANC_DESPESAS[OBSERVAÇÕES])</f>
        <v>0</v>
      </c>
      <c r="AD94" s="3">
        <f>SUMIF(LANC_DESLOC[OS/OP],LAN_OP[[#This Row],[OP/OS]],LANC_DESLOC[ANO])</f>
        <v>0</v>
      </c>
      <c r="AE94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4" s="3">
        <f>LAN_OP[[#This Row],[TOTAL PARCIAL (M.O+MT+DESP)]]*1.08</f>
        <v>0</v>
      </c>
      <c r="AG94" s="3">
        <f>LAN_OP[[#This Row],[TOTAL PARCIAL + OUTROS CUSTOS (8%)]]*1.09</f>
        <v>0</v>
      </c>
      <c r="AH94" t="str">
        <f>IF(AND(U94&gt;=CALENDARIO!$B$2,U94&lt;=CALENDARIO!$C$2),"JANEIRO",IF(AND(U94&gt;=CALENDARIO!$B$3,U94&lt;=CALENDARIO!$C$3),"FEVEREIRO",IF(AND(U94&gt;=CALENDARIO!$B$4,U94&lt;=CALENDARIO!$C$4),"MARÇO",IF(AND(U94&gt;=CALENDARIO!$B$5,U94&lt;=CALENDARIO!$C$5),"ABRIL",IF(AND(U94&gt;=CALENDARIO!$B$6,U94&lt;=CALENDARIO!$C$6),"MAIO",IF(AND(U94&gt;=CALENDARIO!$B$7,U94&lt;=CALENDARIO!$C$7),"JUNHO",IF(AND(U94&gt;=CALENDARIO!$B$8,U94&lt;=CALENDARIO!$C$8),"JULHO",IF(AND(U94&gt;=CALENDARIO!$B$9,U94&lt;=CALENDARIO!$C$9),"AGOSTO",IF(AND(U94&gt;=CALENDARIO!$B$10,U94&lt;=CALENDARIO!$C$10),"SETEMBRO",IF(AND(U94&gt;=CALENDARIO!$B$11,U94&lt;=CALENDARIO!$C$11),"OUTUBRO",IF(AND(U94&gt;=CALENDARIO!$B$12,U94&lt;=CALENDARIO!$C$12),"NOVEMBRO",IF(AND(U94&gt;=CALENDARIO!$B$13,U94&lt;=CALENDARIO!$C$13),"DEZEMBRO","-"))))))))))))</f>
        <v>-</v>
      </c>
      <c r="AI94" s="3">
        <f>LAN_OP[[#This Row],[VALOR CONTRATO]]-LAN_OP[[#This Row],[TOTAL CUSTO (O.C + DI + MT + MO+DESP)]]</f>
        <v>0</v>
      </c>
      <c r="AJ94" s="11" t="str">
        <f>IFERROR(LAN_OP[[#This Row],[R$ (CONTRATO - CUSTOS)]]/LAN_OP[[#This Row],[VALOR CONTRATO]],"")</f>
        <v/>
      </c>
      <c r="AK94" s="3">
        <f>LAN_OP[[#This Row],[VALOR CONTRATO]]-LAN_OP[[#This Row],[VALOR FATURADO]]</f>
        <v>0</v>
      </c>
      <c r="AL94" s="3" t="str">
        <f>IF(AND(C94&gt;=CALENDARIO!$B$2,C94&lt;=CALENDARIO!$C$2),"JANEIRO",IF(AND(C94&gt;=CALENDARIO!$B$3,C94&lt;=CALENDARIO!$C$3),"FEVEREIRO",IF(AND(C94&gt;=CALENDARIO!$B$4,C94&lt;=CALENDARIO!$C$4),"MARÇO",IF(AND(C94&gt;=CALENDARIO!$B$5,C94&lt;=CALENDARIO!$C$5),"ABRIL",IF(AND(C94&gt;=CALENDARIO!$B$6,C94&lt;=CALENDARIO!$C$6),"MAIO",IF(AND(C94&gt;=CALENDARIO!$B$7,C94&lt;=CALENDARIO!$C$7),"JUNHO",IF(AND(C94&gt;=CALENDARIO!$B$8,C94&lt;=CALENDARIO!$C$8),"JULHO",IF(AND(C94&gt;=CALENDARIO!$B$9,C94&lt;=CALENDARIO!$C$9),"AGOSTO",IF(AND(C94&gt;=CALENDARIO!$B$10,C94&lt;=CALENDARIO!$C$10),"SETEMBRO",IF(AND(C94&gt;=CALENDARIO!$B$11,C94&lt;=CALENDARIO!$C$11),"OUTUBRO",IF(AND(C94&gt;=CALENDARIO!$B$12,C94&lt;=CALENDARIO!$C$12),"NOVEMBRO",IF(AND(C94&gt;=CALENDARIO!$B$13,C94&lt;=CALENDARIO!$C$13),"DEZEMBRO","-"))))))))))))</f>
        <v>-</v>
      </c>
      <c r="AM94" s="3" t="str">
        <f>RIGHT(LAN_OP[[#This Row],[OP/OS]],4)</f>
        <v/>
      </c>
    </row>
    <row r="95" spans="2:39" x14ac:dyDescent="0.3">
      <c r="B95" s="80"/>
      <c r="C95" s="140"/>
      <c r="G95"/>
      <c r="H95"/>
      <c r="I95" s="3"/>
      <c r="J95" s="3"/>
      <c r="K95" s="11" t="e">
        <f>LAN_OP[[#This Row],[VALOR FATURADO]]/LAN_OP[[#This Row],[VALOR CONTRATO]]</f>
        <v>#DIV/0!</v>
      </c>
      <c r="L95" s="4">
        <f>LAN_OP[[#This Row],[VALOR CONTRATO]]-LAN_OP[[#This Row],[VALOR FATURADO]]</f>
        <v>0</v>
      </c>
      <c r="M95" s="11" t="e">
        <v>#DIV/0!</v>
      </c>
      <c r="N95" s="138"/>
      <c r="O95" s="138"/>
      <c r="P95" s="11"/>
      <c r="Q95" s="141"/>
      <c r="R95" s="3"/>
      <c r="S95" s="4"/>
      <c r="T95" s="8" t="str">
        <f>IFERROR(VLOOKUP(LAN_OP[[#This Row],[OP/OS]],LANC_FAT!A:M,2,0),"-")</f>
        <v>-</v>
      </c>
      <c r="U95" s="139" t="str">
        <f>IFERROR(VLOOKUP(LAN_OP[[#This Row],[OP/OS]],LANC_FAT!A:M,8,0),"-")</f>
        <v>-</v>
      </c>
      <c r="V95" s="10">
        <f>SUMIF(LANC_FAT[OP/OS],LAN_OP[[#This Row],[OP/OS]],LANC_FAT[VALOR DA NF COM IMPOSTO])</f>
        <v>0</v>
      </c>
      <c r="W95" s="3"/>
      <c r="X95" s="10">
        <f>SUMIF(LANC_COMPRA[OP/OS],LAN_OP[[#This Row],[OP/OS]],LANC_COMPRA[[VALOR ]])</f>
        <v>0</v>
      </c>
      <c r="Y95" s="10">
        <f>SUMIF(LANC_HORAS[OP/OS],LAN_OP[[#This Row],[OP/OS]],LANC_HORAS[TOTAL GERAL NORMAL])</f>
        <v>0</v>
      </c>
      <c r="Z95" s="10">
        <f>SUMIF(LANC_HORAS[OP/OS],LAN_OP[[#This Row],[OP/OS]],LANC_HORAS[TOTAL GERAL EXTRAS])</f>
        <v>0</v>
      </c>
      <c r="AA95" s="12">
        <f>SUMIF(LANC_HORAS[OP/OS],LAN_OP[[#This Row],[OP/OS]],LANC_HORAS[TOTAL H.N])</f>
        <v>0</v>
      </c>
      <c r="AB95" s="12">
        <f>SUMIF(LANC_HORAS[OP/OS],LAN_OP[[#This Row],[OP/OS]],LANC_HORAS[TOTAL H.E])</f>
        <v>0</v>
      </c>
      <c r="AC95" s="10">
        <f>SUMIF(LANC_DESPESAS[OS/OP],LAN_OP[[#This Row],[OP/OS]],LANC_DESPESAS[OBSERVAÇÕES])</f>
        <v>0</v>
      </c>
      <c r="AD95" s="3">
        <f>SUMIF(LANC_DESLOC[OS/OP],LAN_OP[[#This Row],[OP/OS]],LANC_DESLOC[ANO])</f>
        <v>0</v>
      </c>
      <c r="AE95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5" s="3">
        <f>LAN_OP[[#This Row],[TOTAL PARCIAL (M.O+MT+DESP)]]*1.08</f>
        <v>0</v>
      </c>
      <c r="AG95" s="3">
        <f>LAN_OP[[#This Row],[TOTAL PARCIAL + OUTROS CUSTOS (8%)]]*1.09</f>
        <v>0</v>
      </c>
      <c r="AH95" t="str">
        <f>IF(AND(U95&gt;=CALENDARIO!$B$2,U95&lt;=CALENDARIO!$C$2),"JANEIRO",IF(AND(U95&gt;=CALENDARIO!$B$3,U95&lt;=CALENDARIO!$C$3),"FEVEREIRO",IF(AND(U95&gt;=CALENDARIO!$B$4,U95&lt;=CALENDARIO!$C$4),"MARÇO",IF(AND(U95&gt;=CALENDARIO!$B$5,U95&lt;=CALENDARIO!$C$5),"ABRIL",IF(AND(U95&gt;=CALENDARIO!$B$6,U95&lt;=CALENDARIO!$C$6),"MAIO",IF(AND(U95&gt;=CALENDARIO!$B$7,U95&lt;=CALENDARIO!$C$7),"JUNHO",IF(AND(U95&gt;=CALENDARIO!$B$8,U95&lt;=CALENDARIO!$C$8),"JULHO",IF(AND(U95&gt;=CALENDARIO!$B$9,U95&lt;=CALENDARIO!$C$9),"AGOSTO",IF(AND(U95&gt;=CALENDARIO!$B$10,U95&lt;=CALENDARIO!$C$10),"SETEMBRO",IF(AND(U95&gt;=CALENDARIO!$B$11,U95&lt;=CALENDARIO!$C$11),"OUTUBRO",IF(AND(U95&gt;=CALENDARIO!$B$12,U95&lt;=CALENDARIO!$C$12),"NOVEMBRO",IF(AND(U95&gt;=CALENDARIO!$B$13,U95&lt;=CALENDARIO!$C$13),"DEZEMBRO","-"))))))))))))</f>
        <v>-</v>
      </c>
      <c r="AI95" s="3">
        <f>LAN_OP[[#This Row],[VALOR CONTRATO]]-LAN_OP[[#This Row],[TOTAL CUSTO (O.C + DI + MT + MO+DESP)]]</f>
        <v>0</v>
      </c>
      <c r="AJ95" s="11" t="str">
        <f>IFERROR(LAN_OP[[#This Row],[R$ (CONTRATO - CUSTOS)]]/LAN_OP[[#This Row],[VALOR CONTRATO]],"")</f>
        <v/>
      </c>
      <c r="AK95" s="3">
        <f>LAN_OP[[#This Row],[VALOR CONTRATO]]-LAN_OP[[#This Row],[VALOR FATURADO]]</f>
        <v>0</v>
      </c>
      <c r="AL95" s="3" t="str">
        <f>IF(AND(C95&gt;=CALENDARIO!$B$2,C95&lt;=CALENDARIO!$C$2),"JANEIRO",IF(AND(C95&gt;=CALENDARIO!$B$3,C95&lt;=CALENDARIO!$C$3),"FEVEREIRO",IF(AND(C95&gt;=CALENDARIO!$B$4,C95&lt;=CALENDARIO!$C$4),"MARÇO",IF(AND(C95&gt;=CALENDARIO!$B$5,C95&lt;=CALENDARIO!$C$5),"ABRIL",IF(AND(C95&gt;=CALENDARIO!$B$6,C95&lt;=CALENDARIO!$C$6),"MAIO",IF(AND(C95&gt;=CALENDARIO!$B$7,C95&lt;=CALENDARIO!$C$7),"JUNHO",IF(AND(C95&gt;=CALENDARIO!$B$8,C95&lt;=CALENDARIO!$C$8),"JULHO",IF(AND(C95&gt;=CALENDARIO!$B$9,C95&lt;=CALENDARIO!$C$9),"AGOSTO",IF(AND(C95&gt;=CALENDARIO!$B$10,C95&lt;=CALENDARIO!$C$10),"SETEMBRO",IF(AND(C95&gt;=CALENDARIO!$B$11,C95&lt;=CALENDARIO!$C$11),"OUTUBRO",IF(AND(C95&gt;=CALENDARIO!$B$12,C95&lt;=CALENDARIO!$C$12),"NOVEMBRO",IF(AND(C95&gt;=CALENDARIO!$B$13,C95&lt;=CALENDARIO!$C$13),"DEZEMBRO","-"))))))))))))</f>
        <v>-</v>
      </c>
      <c r="AM95" s="3" t="str">
        <f>RIGHT(LAN_OP[[#This Row],[OP/OS]],4)</f>
        <v/>
      </c>
    </row>
    <row r="96" spans="2:39" x14ac:dyDescent="0.3">
      <c r="B96" s="80"/>
      <c r="C96" s="140"/>
      <c r="G96"/>
      <c r="H96"/>
      <c r="I96" s="3"/>
      <c r="J96" s="3"/>
      <c r="K96" s="11" t="e">
        <f>LAN_OP[[#This Row],[VALOR FATURADO]]/LAN_OP[[#This Row],[VALOR CONTRATO]]</f>
        <v>#DIV/0!</v>
      </c>
      <c r="L96" s="4">
        <f>LAN_OP[[#This Row],[VALOR CONTRATO]]-LAN_OP[[#This Row],[VALOR FATURADO]]</f>
        <v>0</v>
      </c>
      <c r="M96" s="11" t="e">
        <v>#DIV/0!</v>
      </c>
      <c r="N96" s="138"/>
      <c r="O96" s="138"/>
      <c r="P96" s="11"/>
      <c r="Q96" s="141"/>
      <c r="R96" s="3"/>
      <c r="S96" s="4"/>
      <c r="T96" s="8" t="str">
        <f>IFERROR(VLOOKUP(LAN_OP[[#This Row],[OP/OS]],LANC_FAT!A:M,2,0),"-")</f>
        <v>-</v>
      </c>
      <c r="U96" s="139" t="str">
        <f>IFERROR(VLOOKUP(LAN_OP[[#This Row],[OP/OS]],LANC_FAT!A:M,8,0),"-")</f>
        <v>-</v>
      </c>
      <c r="V96" s="10">
        <f>SUMIF(LANC_FAT[OP/OS],LAN_OP[[#This Row],[OP/OS]],LANC_FAT[VALOR DA NF COM IMPOSTO])</f>
        <v>0</v>
      </c>
      <c r="W96" s="3"/>
      <c r="X96" s="10">
        <f>SUMIF(LANC_COMPRA[OP/OS],LAN_OP[[#This Row],[OP/OS]],LANC_COMPRA[[VALOR ]])</f>
        <v>0</v>
      </c>
      <c r="Y96" s="10">
        <f>SUMIF(LANC_HORAS[OP/OS],LAN_OP[[#This Row],[OP/OS]],LANC_HORAS[TOTAL GERAL NORMAL])</f>
        <v>0</v>
      </c>
      <c r="Z96" s="10">
        <f>SUMIF(LANC_HORAS[OP/OS],LAN_OP[[#This Row],[OP/OS]],LANC_HORAS[TOTAL GERAL EXTRAS])</f>
        <v>0</v>
      </c>
      <c r="AA96" s="12">
        <f>SUMIF(LANC_HORAS[OP/OS],LAN_OP[[#This Row],[OP/OS]],LANC_HORAS[TOTAL H.N])</f>
        <v>0</v>
      </c>
      <c r="AB96" s="12">
        <f>SUMIF(LANC_HORAS[OP/OS],LAN_OP[[#This Row],[OP/OS]],LANC_HORAS[TOTAL H.E])</f>
        <v>0</v>
      </c>
      <c r="AC96" s="10">
        <f>SUMIF(LANC_DESPESAS[OS/OP],LAN_OP[[#This Row],[OP/OS]],LANC_DESPESAS[OBSERVAÇÕES])</f>
        <v>0</v>
      </c>
      <c r="AD96" s="3">
        <f>SUMIF(LANC_DESLOC[OS/OP],LAN_OP[[#This Row],[OP/OS]],LANC_DESLOC[ANO])</f>
        <v>0</v>
      </c>
      <c r="AE96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6" s="3">
        <f>LAN_OP[[#This Row],[TOTAL PARCIAL (M.O+MT+DESP)]]*1.08</f>
        <v>0</v>
      </c>
      <c r="AG96" s="3">
        <f>LAN_OP[[#This Row],[TOTAL PARCIAL + OUTROS CUSTOS (8%)]]*1.09</f>
        <v>0</v>
      </c>
      <c r="AH96" t="str">
        <f>IF(AND(U96&gt;=CALENDARIO!$B$2,U96&lt;=CALENDARIO!$C$2),"JANEIRO",IF(AND(U96&gt;=CALENDARIO!$B$3,U96&lt;=CALENDARIO!$C$3),"FEVEREIRO",IF(AND(U96&gt;=CALENDARIO!$B$4,U96&lt;=CALENDARIO!$C$4),"MARÇO",IF(AND(U96&gt;=CALENDARIO!$B$5,U96&lt;=CALENDARIO!$C$5),"ABRIL",IF(AND(U96&gt;=CALENDARIO!$B$6,U96&lt;=CALENDARIO!$C$6),"MAIO",IF(AND(U96&gt;=CALENDARIO!$B$7,U96&lt;=CALENDARIO!$C$7),"JUNHO",IF(AND(U96&gt;=CALENDARIO!$B$8,U96&lt;=CALENDARIO!$C$8),"JULHO",IF(AND(U96&gt;=CALENDARIO!$B$9,U96&lt;=CALENDARIO!$C$9),"AGOSTO",IF(AND(U96&gt;=CALENDARIO!$B$10,U96&lt;=CALENDARIO!$C$10),"SETEMBRO",IF(AND(U96&gt;=CALENDARIO!$B$11,U96&lt;=CALENDARIO!$C$11),"OUTUBRO",IF(AND(U96&gt;=CALENDARIO!$B$12,U96&lt;=CALENDARIO!$C$12),"NOVEMBRO",IF(AND(U96&gt;=CALENDARIO!$B$13,U96&lt;=CALENDARIO!$C$13),"DEZEMBRO","-"))))))))))))</f>
        <v>-</v>
      </c>
      <c r="AI96" s="3">
        <f>LAN_OP[[#This Row],[VALOR CONTRATO]]-LAN_OP[[#This Row],[TOTAL CUSTO (O.C + DI + MT + MO+DESP)]]</f>
        <v>0</v>
      </c>
      <c r="AJ96" s="11" t="str">
        <f>IFERROR(LAN_OP[[#This Row],[R$ (CONTRATO - CUSTOS)]]/LAN_OP[[#This Row],[VALOR CONTRATO]],"")</f>
        <v/>
      </c>
      <c r="AK96" s="3">
        <f>LAN_OP[[#This Row],[VALOR CONTRATO]]-LAN_OP[[#This Row],[VALOR FATURADO]]</f>
        <v>0</v>
      </c>
      <c r="AL96" s="3" t="str">
        <f>IF(AND(C96&gt;=CALENDARIO!$B$2,C96&lt;=CALENDARIO!$C$2),"JANEIRO",IF(AND(C96&gt;=CALENDARIO!$B$3,C96&lt;=CALENDARIO!$C$3),"FEVEREIRO",IF(AND(C96&gt;=CALENDARIO!$B$4,C96&lt;=CALENDARIO!$C$4),"MARÇO",IF(AND(C96&gt;=CALENDARIO!$B$5,C96&lt;=CALENDARIO!$C$5),"ABRIL",IF(AND(C96&gt;=CALENDARIO!$B$6,C96&lt;=CALENDARIO!$C$6),"MAIO",IF(AND(C96&gt;=CALENDARIO!$B$7,C96&lt;=CALENDARIO!$C$7),"JUNHO",IF(AND(C96&gt;=CALENDARIO!$B$8,C96&lt;=CALENDARIO!$C$8),"JULHO",IF(AND(C96&gt;=CALENDARIO!$B$9,C96&lt;=CALENDARIO!$C$9),"AGOSTO",IF(AND(C96&gt;=CALENDARIO!$B$10,C96&lt;=CALENDARIO!$C$10),"SETEMBRO",IF(AND(C96&gt;=CALENDARIO!$B$11,C96&lt;=CALENDARIO!$C$11),"OUTUBRO",IF(AND(C96&gt;=CALENDARIO!$B$12,C96&lt;=CALENDARIO!$C$12),"NOVEMBRO",IF(AND(C96&gt;=CALENDARIO!$B$13,C96&lt;=CALENDARIO!$C$13),"DEZEMBRO","-"))))))))))))</f>
        <v>-</v>
      </c>
      <c r="AM96" s="3" t="str">
        <f>RIGHT(LAN_OP[[#This Row],[OP/OS]],4)</f>
        <v/>
      </c>
    </row>
    <row r="97" spans="2:39" x14ac:dyDescent="0.3">
      <c r="B97" s="80"/>
      <c r="C97" s="140"/>
      <c r="G97"/>
      <c r="H97"/>
      <c r="I97" s="3"/>
      <c r="J97" s="3"/>
      <c r="K97" s="11" t="e">
        <f>LAN_OP[[#This Row],[VALOR FATURADO]]/LAN_OP[[#This Row],[VALOR CONTRATO]]</f>
        <v>#DIV/0!</v>
      </c>
      <c r="L97" s="4">
        <f>LAN_OP[[#This Row],[VALOR CONTRATO]]-LAN_OP[[#This Row],[VALOR FATURADO]]</f>
        <v>0</v>
      </c>
      <c r="M97" s="11" t="e">
        <v>#DIV/0!</v>
      </c>
      <c r="N97" s="138"/>
      <c r="O97" s="138"/>
      <c r="P97" s="11"/>
      <c r="Q97" s="159"/>
      <c r="R97" s="10"/>
      <c r="S97" s="4"/>
      <c r="T97" s="8" t="str">
        <f>IFERROR(VLOOKUP(LAN_OP[[#This Row],[OP/OS]],LANC_FAT!A:M,2,0),"-")</f>
        <v>-</v>
      </c>
      <c r="U97" s="139" t="str">
        <f>IFERROR(VLOOKUP(LAN_OP[[#This Row],[OP/OS]],LANC_FAT!A:M,8,0),"-")</f>
        <v>-</v>
      </c>
      <c r="V97" s="10">
        <f>SUMIF(LANC_FAT[OP/OS],LAN_OP[[#This Row],[OP/OS]],LANC_FAT[VALOR DA NF COM IMPOSTO])</f>
        <v>0</v>
      </c>
      <c r="X97" s="10">
        <f>SUMIF(LANC_COMPRA[OP/OS],LAN_OP[[#This Row],[OP/OS]],LANC_COMPRA[[VALOR ]])</f>
        <v>0</v>
      </c>
      <c r="Y97" s="10">
        <f>SUMIF(LANC_HORAS[OP/OS],LAN_OP[[#This Row],[OP/OS]],LANC_HORAS[TOTAL GERAL NORMAL])</f>
        <v>0</v>
      </c>
      <c r="Z97" s="10">
        <f>SUMIF(LANC_HORAS[OP/OS],LAN_OP[[#This Row],[OP/OS]],LANC_HORAS[TOTAL GERAL EXTRAS])</f>
        <v>0</v>
      </c>
      <c r="AA97" s="12">
        <f>SUMIF(LANC_HORAS[OP/OS],LAN_OP[[#This Row],[OP/OS]],LANC_HORAS[TOTAL H.N])</f>
        <v>0</v>
      </c>
      <c r="AB97" s="12">
        <f>SUMIF(LANC_HORAS[OP/OS],LAN_OP[[#This Row],[OP/OS]],LANC_HORAS[TOTAL H.E])</f>
        <v>0</v>
      </c>
      <c r="AC97" s="10">
        <f>SUMIF(LANC_DESPESAS[OS/OP],LAN_OP[[#This Row],[OP/OS]],LANC_DESPESAS[OBSERVAÇÕES])</f>
        <v>0</v>
      </c>
      <c r="AD97" s="3">
        <f>SUMIF(LANC_DESLOC[OS/OP],LAN_OP[[#This Row],[OP/OS]],LANC_DESLOC[ANO])</f>
        <v>0</v>
      </c>
      <c r="AE97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7" s="3">
        <f>LAN_OP[[#This Row],[TOTAL PARCIAL (M.O+MT+DESP)]]*1.08</f>
        <v>0</v>
      </c>
      <c r="AG97" s="3">
        <f>LAN_OP[[#This Row],[TOTAL PARCIAL + OUTROS CUSTOS (8%)]]*1.09</f>
        <v>0</v>
      </c>
      <c r="AH97" s="160" t="str">
        <f>IF(AND(U97&gt;=CALENDARIO!$B$2,U97&lt;=CALENDARIO!$C$2),"JANEIRO",IF(AND(U97&gt;=CALENDARIO!$B$3,U97&lt;=CALENDARIO!$C$3),"FEVEREIRO",IF(AND(U97&gt;=CALENDARIO!$B$4,U97&lt;=CALENDARIO!$C$4),"MARÇO",IF(AND(U97&gt;=CALENDARIO!$B$5,U97&lt;=CALENDARIO!$C$5),"ABRIL",IF(AND(U97&gt;=CALENDARIO!$B$6,U97&lt;=CALENDARIO!$C$6),"MAIO",IF(AND(U97&gt;=CALENDARIO!$B$7,U97&lt;=CALENDARIO!$C$7),"JUNHO",IF(AND(U97&gt;=CALENDARIO!$B$8,U97&lt;=CALENDARIO!$C$8),"JULHO",IF(AND(U97&gt;=CALENDARIO!$B$9,U97&lt;=CALENDARIO!$C$9),"AGOSTO",IF(AND(U97&gt;=CALENDARIO!$B$10,U97&lt;=CALENDARIO!$C$10),"SETEMBRO",IF(AND(U97&gt;=CALENDARIO!$B$11,U97&lt;=CALENDARIO!$C$11),"OUTUBRO",IF(AND(U97&gt;=CALENDARIO!$B$12,U97&lt;=CALENDARIO!$C$12),"NOVEMBRO",IF(AND(U97&gt;=CALENDARIO!$B$13,U97&lt;=CALENDARIO!$C$13),"DEZEMBRO","-"))))))))))))</f>
        <v>-</v>
      </c>
      <c r="AI97" s="3">
        <f>LAN_OP[[#This Row],[VALOR CONTRATO]]-LAN_OP[[#This Row],[TOTAL CUSTO (O.C + DI + MT + MO+DESP)]]</f>
        <v>0</v>
      </c>
      <c r="AJ97" s="11" t="str">
        <f>IFERROR(LAN_OP[[#This Row],[R$ (CONTRATO - CUSTOS)]]/LAN_OP[[#This Row],[VALOR CONTRATO]],"")</f>
        <v/>
      </c>
      <c r="AK97" s="3">
        <f>LAN_OP[[#This Row],[VALOR CONTRATO]]-LAN_OP[[#This Row],[VALOR FATURADO]]</f>
        <v>0</v>
      </c>
      <c r="AL97" s="3" t="str">
        <f>IF(AND(C97&gt;=CALENDARIO!$B$2,C97&lt;=CALENDARIO!$C$2),"JANEIRO",IF(AND(C97&gt;=CALENDARIO!$B$3,C97&lt;=CALENDARIO!$C$3),"FEVEREIRO",IF(AND(C97&gt;=CALENDARIO!$B$4,C97&lt;=CALENDARIO!$C$4),"MARÇO",IF(AND(C97&gt;=CALENDARIO!$B$5,C97&lt;=CALENDARIO!$C$5),"ABRIL",IF(AND(C97&gt;=CALENDARIO!$B$6,C97&lt;=CALENDARIO!$C$6),"MAIO",IF(AND(C97&gt;=CALENDARIO!$B$7,C97&lt;=CALENDARIO!$C$7),"JUNHO",IF(AND(C97&gt;=CALENDARIO!$B$8,C97&lt;=CALENDARIO!$C$8),"JULHO",IF(AND(C97&gt;=CALENDARIO!$B$9,C97&lt;=CALENDARIO!$C$9),"AGOSTO",IF(AND(C97&gt;=CALENDARIO!$B$10,C97&lt;=CALENDARIO!$C$10),"SETEMBRO",IF(AND(C97&gt;=CALENDARIO!$B$11,C97&lt;=CALENDARIO!$C$11),"OUTUBRO",IF(AND(C97&gt;=CALENDARIO!$B$12,C97&lt;=CALENDARIO!$C$12),"NOVEMBRO",IF(AND(C97&gt;=CALENDARIO!$B$13,C97&lt;=CALENDARIO!$C$13),"DEZEMBRO","-"))))))))))))</f>
        <v>-</v>
      </c>
      <c r="AM97" s="3" t="str">
        <f>RIGHT(LAN_OP[[#This Row],[OP/OS]],4)</f>
        <v/>
      </c>
    </row>
    <row r="98" spans="2:39" x14ac:dyDescent="0.3">
      <c r="B98" s="80"/>
      <c r="C98" s="162"/>
      <c r="G98"/>
      <c r="H98"/>
      <c r="I98" s="3"/>
      <c r="J98" s="3"/>
      <c r="K98" s="11" t="e">
        <f>LAN_OP[[#This Row],[VALOR FATURADO]]/LAN_OP[[#This Row],[VALOR CONTRATO]]</f>
        <v>#DIV/0!</v>
      </c>
      <c r="L98" s="4">
        <f>LAN_OP[[#This Row],[VALOR CONTRATO]]-LAN_OP[[#This Row],[VALOR FATURADO]]</f>
        <v>0</v>
      </c>
      <c r="M98" s="11" t="e">
        <v>#DIV/0!</v>
      </c>
      <c r="N98" s="138"/>
      <c r="O98" s="138"/>
      <c r="P98" s="11"/>
      <c r="Q98" s="159"/>
      <c r="R98" s="10"/>
      <c r="S98" s="4"/>
      <c r="T98" s="8" t="str">
        <f>IFERROR(VLOOKUP(LAN_OP[[#This Row],[OP/OS]],LANC_FAT!A:M,2,0),"-")</f>
        <v>-</v>
      </c>
      <c r="U98" s="139" t="str">
        <f>IFERROR(VLOOKUP(LAN_OP[[#This Row],[OP/OS]],LANC_FAT!A:M,8,0),"-")</f>
        <v>-</v>
      </c>
      <c r="V98" s="10">
        <f>SUMIF(LANC_FAT[OP/OS],LAN_OP[[#This Row],[OP/OS]],LANC_FAT[VALOR DA NF COM IMPOSTO])</f>
        <v>0</v>
      </c>
      <c r="X98" s="10">
        <f>SUMIF(LANC_COMPRA[OP/OS],LAN_OP[[#This Row],[OP/OS]],LANC_COMPRA[[VALOR ]])</f>
        <v>0</v>
      </c>
      <c r="Y98" s="10">
        <f>SUMIF(LANC_HORAS[OP/OS],LAN_OP[[#This Row],[OP/OS]],LANC_HORAS[TOTAL GERAL NORMAL])</f>
        <v>0</v>
      </c>
      <c r="Z98" s="10">
        <f>SUMIF(LANC_HORAS[OP/OS],LAN_OP[[#This Row],[OP/OS]],LANC_HORAS[TOTAL GERAL EXTRAS])</f>
        <v>0</v>
      </c>
      <c r="AA98" s="12">
        <f>SUMIF(LANC_HORAS[OP/OS],LAN_OP[[#This Row],[OP/OS]],LANC_HORAS[TOTAL H.N])</f>
        <v>0</v>
      </c>
      <c r="AB98" s="12">
        <f>SUMIF(LANC_HORAS[OP/OS],LAN_OP[[#This Row],[OP/OS]],LANC_HORAS[TOTAL H.E])</f>
        <v>0</v>
      </c>
      <c r="AC98" s="10">
        <f>SUMIF(LANC_DESPESAS[OS/OP],LAN_OP[[#This Row],[OP/OS]],LANC_DESPESAS[OBSERVAÇÕES])</f>
        <v>0</v>
      </c>
      <c r="AD98" s="3">
        <f>SUMIF(LANC_DESLOC[OS/OP],LAN_OP[[#This Row],[OP/OS]],LANC_DESLOC[ANO])</f>
        <v>0</v>
      </c>
      <c r="AE98" s="10">
        <f>LAN_OP[[#This Row],[DESPESA COM DESLOCAMENTO]]+LAN_OP[[#This Row],[DESPESAS COM FUNCIONARIOS]]+LAN_OP[[#This Row],[CUSTO MÃO DE OBRA UTILIZADO NORMAL]]+LAN_OP[[#This Row],[CUSTO MÃO DE OBRA UTILIZADO EXTRA]]+LAN_OP[[#This Row],[CUSTO MATERIAL SISTEMA]]</f>
        <v>0</v>
      </c>
      <c r="AF98" s="3">
        <f>LAN_OP[[#This Row],[TOTAL PARCIAL (M.O+MT+DESP)]]*1.08</f>
        <v>0</v>
      </c>
      <c r="AG98" s="3">
        <f>LAN_OP[[#This Row],[TOTAL PARCIAL + OUTROS CUSTOS (8%)]]*1.09</f>
        <v>0</v>
      </c>
      <c r="AH98" s="160" t="str">
        <f>IF(AND(U98&gt;=CALENDARIO!$B$2,U98&lt;=CALENDARIO!$C$2),"JANEIRO",IF(AND(U98&gt;=CALENDARIO!$B$3,U98&lt;=CALENDARIO!$C$3),"FEVEREIRO",IF(AND(U98&gt;=CALENDARIO!$B$4,U98&lt;=CALENDARIO!$C$4),"MARÇO",IF(AND(U98&gt;=CALENDARIO!$B$5,U98&lt;=CALENDARIO!$C$5),"ABRIL",IF(AND(U98&gt;=CALENDARIO!$B$6,U98&lt;=CALENDARIO!$C$6),"MAIO",IF(AND(U98&gt;=CALENDARIO!$B$7,U98&lt;=CALENDARIO!$C$7),"JUNHO",IF(AND(U98&gt;=CALENDARIO!$B$8,U98&lt;=CALENDARIO!$C$8),"JULHO",IF(AND(U98&gt;=CALENDARIO!$B$9,U98&lt;=CALENDARIO!$C$9),"AGOSTO",IF(AND(U98&gt;=CALENDARIO!$B$10,U98&lt;=CALENDARIO!$C$10),"SETEMBRO",IF(AND(U98&gt;=CALENDARIO!$B$11,U98&lt;=CALENDARIO!$C$11),"OUTUBRO",IF(AND(U98&gt;=CALENDARIO!$B$12,U98&lt;=CALENDARIO!$C$12),"NOVEMBRO",IF(AND(U98&gt;=CALENDARIO!$B$13,U98&lt;=CALENDARIO!$C$13),"DEZEMBRO","-"))))))))))))</f>
        <v>-</v>
      </c>
      <c r="AI98" s="3">
        <f>LAN_OP[[#This Row],[VALOR CONTRATO]]-LAN_OP[[#This Row],[TOTAL CUSTO (O.C + DI + MT + MO+DESP)]]</f>
        <v>0</v>
      </c>
      <c r="AJ98" s="11" t="str">
        <f>IFERROR(LAN_OP[[#This Row],[R$ (CONTRATO - CUSTOS)]]/LAN_OP[[#This Row],[VALOR CONTRATO]],"")</f>
        <v/>
      </c>
      <c r="AK98" s="3">
        <f>LAN_OP[[#This Row],[VALOR CONTRATO]]-LAN_OP[[#This Row],[VALOR FATURADO]]</f>
        <v>0</v>
      </c>
      <c r="AL98" s="3" t="str">
        <f>IF(AND(C98&gt;=CALENDARIO!$B$2,C98&lt;=CALENDARIO!$C$2),"JANEIRO",IF(AND(C98&gt;=CALENDARIO!$B$3,C98&lt;=CALENDARIO!$C$3),"FEVEREIRO",IF(AND(C98&gt;=CALENDARIO!$B$4,C98&lt;=CALENDARIO!$C$4),"MARÇO",IF(AND(C98&gt;=CALENDARIO!$B$5,C98&lt;=CALENDARIO!$C$5),"ABRIL",IF(AND(C98&gt;=CALENDARIO!$B$6,C98&lt;=CALENDARIO!$C$6),"MAIO",IF(AND(C98&gt;=CALENDARIO!$B$7,C98&lt;=CALENDARIO!$C$7),"JUNHO",IF(AND(C98&gt;=CALENDARIO!$B$8,C98&lt;=CALENDARIO!$C$8),"JULHO",IF(AND(C98&gt;=CALENDARIO!$B$9,C98&lt;=CALENDARIO!$C$9),"AGOSTO",IF(AND(C98&gt;=CALENDARIO!$B$10,C98&lt;=CALENDARIO!$C$10),"SETEMBRO",IF(AND(C98&gt;=CALENDARIO!$B$11,C98&lt;=CALENDARIO!$C$11),"OUTUBRO",IF(AND(C98&gt;=CALENDARIO!$B$12,C98&lt;=CALENDARIO!$C$12),"NOVEMBRO",IF(AND(C98&gt;=CALENDARIO!$B$13,C98&lt;=CALENDARIO!$C$13),"DEZEMBRO","-"))))))))))))</f>
        <v>-</v>
      </c>
      <c r="AM98" s="3" t="str">
        <f>RIGHT(LAN_OP[[#This Row],[OP/OS]],4)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64" r:id="rId4" name="Button 32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5" name="Button 33">
              <controlPr defaultSize="0" print="0" autoFill="0" autoPict="0" macro="[0]!IR_DIN_LAN_FATU">
                <anchor>
                  <from>
                    <xdr:col>2</xdr:col>
                    <xdr:colOff>1021080</xdr:colOff>
                    <xdr:row>0</xdr:row>
                    <xdr:rowOff>7620</xdr:rowOff>
                  </from>
                  <to>
                    <xdr:col>3</xdr:col>
                    <xdr:colOff>777240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6" name="Button 34">
              <controlPr defaultSize="0" print="0" autoFill="0" autoPict="0" macro="[0]!IR_DIN_LAN_OP">
                <anchor>
                  <from>
                    <xdr:col>3</xdr:col>
                    <xdr:colOff>838200</xdr:colOff>
                    <xdr:row>0</xdr:row>
                    <xdr:rowOff>7620</xdr:rowOff>
                  </from>
                  <to>
                    <xdr:col>4</xdr:col>
                    <xdr:colOff>655320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7" name="Button 35">
              <controlPr defaultSize="0" print="0" autoFill="0" autoPict="0" macro="[0]!IR_DIN_LAN_COMPRA">
                <anchor>
                  <from>
                    <xdr:col>4</xdr:col>
                    <xdr:colOff>723900</xdr:colOff>
                    <xdr:row>0</xdr:row>
                    <xdr:rowOff>7620</xdr:rowOff>
                  </from>
                  <to>
                    <xdr:col>5</xdr:col>
                    <xdr:colOff>365760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8" name="Button 36">
              <controlPr defaultSize="0" print="0" autoFill="0" autoPict="0" macro="[0]!IR_DIN_LAN_DESP">
                <anchor>
                  <from>
                    <xdr:col>5</xdr:col>
                    <xdr:colOff>426720</xdr:colOff>
                    <xdr:row>0</xdr:row>
                    <xdr:rowOff>7620</xdr:rowOff>
                  </from>
                  <to>
                    <xdr:col>6</xdr:col>
                    <xdr:colOff>640080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9" name="Button 37">
              <controlPr defaultSize="0" print="0" autoFill="0" autoPict="0" macro="[0]!IR_DIN_LAN_DESL">
                <anchor>
                  <from>
                    <xdr:col>6</xdr:col>
                    <xdr:colOff>701040</xdr:colOff>
                    <xdr:row>0</xdr:row>
                    <xdr:rowOff>7620</xdr:rowOff>
                  </from>
                  <to>
                    <xdr:col>7</xdr:col>
                    <xdr:colOff>320040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10" name="Button 38">
              <controlPr defaultSize="0" print="0" autoFill="0" autoPict="0" macro="[0]!IR_DIN_LAN_HORAS">
                <anchor>
                  <from>
                    <xdr:col>7</xdr:col>
                    <xdr:colOff>388620</xdr:colOff>
                    <xdr:row>0</xdr:row>
                    <xdr:rowOff>7620</xdr:rowOff>
                  </from>
                  <to>
                    <xdr:col>7</xdr:col>
                    <xdr:colOff>1341120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1" name="Button 39">
              <controlPr defaultSize="0" print="0" autoFill="0" autoPict="0" macro="[0]!IR_DIN_LAN_OP_EXTRA">
                <anchor>
                  <from>
                    <xdr:col>7</xdr:col>
                    <xdr:colOff>1402080</xdr:colOff>
                    <xdr:row>0</xdr:row>
                    <xdr:rowOff>7620</xdr:rowOff>
                  </from>
                  <to>
                    <xdr:col>8</xdr:col>
                    <xdr:colOff>899160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12" name="Button 40">
              <controlPr defaultSize="0" print="0" autoFill="0" autoPict="0" macro="[0]!IR_DIN_LAN_FATU_EXTRA">
                <anchor>
                  <from>
                    <xdr:col>8</xdr:col>
                    <xdr:colOff>960120</xdr:colOff>
                    <xdr:row>0</xdr:row>
                    <xdr:rowOff>7620</xdr:rowOff>
                  </from>
                  <to>
                    <xdr:col>9</xdr:col>
                    <xdr:colOff>739140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13" name="Button 41">
              <controlPr defaultSize="0" autoFill="0" autoPict="0" macro="[0]!IR_DIN_LAN_ORC">
                <anchor>
                  <from>
                    <xdr:col>9</xdr:col>
                    <xdr:colOff>784860</xdr:colOff>
                    <xdr:row>0</xdr:row>
                    <xdr:rowOff>7620</xdr:rowOff>
                  </from>
                  <to>
                    <xdr:col>10</xdr:col>
                    <xdr:colOff>464820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14" name="Button 42">
              <controlPr defaultSize="0" autoFill="0" autoPict="0" macro="[0]!IR_RESUMO_FAT">
                <anchor>
                  <from>
                    <xdr:col>10</xdr:col>
                    <xdr:colOff>502920</xdr:colOff>
                    <xdr:row>0</xdr:row>
                    <xdr:rowOff>0</xdr:rowOff>
                  </from>
                  <to>
                    <xdr:col>11</xdr:col>
                    <xdr:colOff>998220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15" name="Button 43">
              <controlPr defaultSize="0" autoFill="0" autoPict="0" macro="[0]!IR_DIN_AP">
                <anchor>
                  <from>
                    <xdr:col>11</xdr:col>
                    <xdr:colOff>1043940</xdr:colOff>
                    <xdr:row>0</xdr:row>
                    <xdr:rowOff>0</xdr:rowOff>
                  </from>
                  <to>
                    <xdr:col>13</xdr:col>
                    <xdr:colOff>30480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VALORES_HXH!$G$14:$G$15</xm:f>
          </x14:formula1>
          <xm:sqref>G5:G98</xm:sqref>
        </x14:dataValidation>
        <x14:dataValidation type="list" allowBlank="1" showInputMessage="1" showErrorMessage="1" xr:uid="{00000000-0002-0000-0200-000001000000}">
          <x14:formula1>
            <xm:f>VALORES_HXH!$I$2:$I$9</xm:f>
          </x14:formula1>
          <xm:sqref>D5:D98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theme="8" tint="0.59999389629810485"/>
  </sheetPr>
  <dimension ref="A1:L24"/>
  <sheetViews>
    <sheetView showGridLines="0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27" sqref="G27"/>
    </sheetView>
  </sheetViews>
  <sheetFormatPr defaultColWidth="0" defaultRowHeight="14.4" x14ac:dyDescent="0.3"/>
  <cols>
    <col min="1" max="1" width="15" style="16" customWidth="1"/>
    <col min="2" max="2" width="36.6640625" bestFit="1" customWidth="1"/>
    <col min="3" max="3" width="22.88671875" bestFit="1" customWidth="1"/>
    <col min="4" max="4" width="16.6640625" customWidth="1"/>
    <col min="5" max="5" width="21.5546875" bestFit="1" customWidth="1"/>
    <col min="6" max="6" width="13.6640625" bestFit="1" customWidth="1"/>
    <col min="7" max="7" width="13.44140625" bestFit="1" customWidth="1"/>
    <col min="8" max="8" width="16.109375" bestFit="1" customWidth="1"/>
    <col min="9" max="9" width="15.33203125" customWidth="1"/>
    <col min="10" max="10" width="21.109375" bestFit="1" customWidth="1"/>
    <col min="11" max="11" width="22.109375" customWidth="1"/>
    <col min="12" max="12" width="9.109375" customWidth="1"/>
    <col min="13" max="16384" width="9.109375" hidden="1"/>
  </cols>
  <sheetData>
    <row r="1" spans="1:11" ht="43.5" customHeight="1" x14ac:dyDescent="0.3">
      <c r="A1" s="156"/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1" ht="24" customHeight="1" x14ac:dyDescent="0.3">
      <c r="A2" s="157"/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3" spans="1:11" ht="12" customHeight="1" x14ac:dyDescent="0.3"/>
    <row r="4" spans="1:11" x14ac:dyDescent="0.3">
      <c r="A4" s="158" t="s">
        <v>34</v>
      </c>
      <c r="B4" s="41" t="s">
        <v>35</v>
      </c>
      <c r="C4" s="41" t="s">
        <v>0</v>
      </c>
      <c r="D4" s="42" t="s">
        <v>36</v>
      </c>
      <c r="E4" s="41" t="s">
        <v>37</v>
      </c>
      <c r="F4" s="41" t="s">
        <v>38</v>
      </c>
      <c r="G4" s="41" t="s">
        <v>39</v>
      </c>
      <c r="H4" s="41" t="s">
        <v>40</v>
      </c>
      <c r="I4" s="41" t="s">
        <v>41</v>
      </c>
      <c r="J4" s="41" t="s">
        <v>42</v>
      </c>
      <c r="K4" s="41" t="s">
        <v>43</v>
      </c>
    </row>
    <row r="5" spans="1:11" x14ac:dyDescent="0.3">
      <c r="D5" s="1"/>
      <c r="E5" s="1"/>
      <c r="F5" s="80"/>
      <c r="G5" s="3"/>
      <c r="J5" s="16" t="str">
        <f>IF(AND(D5&gt;=CALENDARIO!$B$2,D5&lt;=CALENDARIO!$C$2),"JANEIRO",IF(AND(D5&gt;=CALENDARIO!$B$3,D5&lt;=CALENDARIO!$C$3),"FEVEREIRO",IF(AND(D5&gt;=CALENDARIO!$B$4,D5&lt;=CALENDARIO!$C$4),"MARÇO",IF(AND(D5&gt;=CALENDARIO!$B$5,D5&lt;=CALENDARIO!$C$5),"ABRIL",IF(AND(D5&gt;=CALENDARIO!$B$6,D5&lt;=CALENDARIO!$C$6),"MAIO",IF(AND(D5&gt;=CALENDARIO!$B$7,D5&lt;=CALENDARIO!$C$7),"JUNHO",IF(AND(D5&gt;=CALENDARIO!$B$8,D5&lt;=CALENDARIO!$C$8),"JULHO",IF(AND(D5&gt;=CALENDARIO!$B$9,D5&lt;=CALENDARIO!$C$9),"AGOSTO",IF(AND(D5&gt;=CALENDARIO!$B$10,D5&lt;=CALENDARIO!$C$10),"SETEMBRO",IF(AND(D5&gt;=CALENDARIO!$B$11,D5&lt;=CALENDARIO!$C$11),"OUTUBRO",IF(AND(D5&gt;=CALENDARIO!$B$12,D5&lt;=CALENDARIO!$C$12),"NOVEMBRO",IF(AND(D5&gt;=CALENDARIO!$B$13,D5&lt;=CALENDARIO!$C$13),"DEZEMBRO","--"))))))))))))</f>
        <v>--</v>
      </c>
      <c r="K5">
        <f>YEAR(LANC_COMPRA[[#This Row],[DATA COMPRA]])</f>
        <v>1900</v>
      </c>
    </row>
    <row r="6" spans="1:11" x14ac:dyDescent="0.3">
      <c r="D6" s="1"/>
      <c r="E6" s="1"/>
      <c r="F6" s="80"/>
      <c r="G6" s="3"/>
      <c r="J6" s="16" t="str">
        <f>IF(AND(D6&gt;=CALENDARIO!$B$2,D6&lt;=CALENDARIO!$C$2),"JANEIRO",IF(AND(D6&gt;=CALENDARIO!$B$3,D6&lt;=CALENDARIO!$C$3),"FEVEREIRO",IF(AND(D6&gt;=CALENDARIO!$B$4,D6&lt;=CALENDARIO!$C$4),"MARÇO",IF(AND(D6&gt;=CALENDARIO!$B$5,D6&lt;=CALENDARIO!$C$5),"ABRIL",IF(AND(D6&gt;=CALENDARIO!$B$6,D6&lt;=CALENDARIO!$C$6),"MAIO",IF(AND(D6&gt;=CALENDARIO!$B$7,D6&lt;=CALENDARIO!$C$7),"JUNHO",IF(AND(D6&gt;=CALENDARIO!$B$8,D6&lt;=CALENDARIO!$C$8),"JULHO",IF(AND(D6&gt;=CALENDARIO!$B$9,D6&lt;=CALENDARIO!$C$9),"AGOSTO",IF(AND(D6&gt;=CALENDARIO!$B$10,D6&lt;=CALENDARIO!$C$10),"SETEMBRO",IF(AND(D6&gt;=CALENDARIO!$B$11,D6&lt;=CALENDARIO!$C$11),"OUTUBRO",IF(AND(D6&gt;=CALENDARIO!$B$12,D6&lt;=CALENDARIO!$C$12),"NOVEMBRO",IF(AND(D6&gt;=CALENDARIO!$B$13,D6&lt;=CALENDARIO!$C$13),"DEZEMBRO","--"))))))))))))</f>
        <v>--</v>
      </c>
      <c r="K6">
        <f>YEAR(LANC_COMPRA[[#This Row],[DATA COMPRA]])</f>
        <v>1900</v>
      </c>
    </row>
    <row r="7" spans="1:11" x14ac:dyDescent="0.3">
      <c r="D7" s="1"/>
      <c r="E7" s="1"/>
      <c r="F7" s="80"/>
      <c r="G7" s="3"/>
      <c r="J7" s="16" t="str">
        <f>IF(AND(D7&gt;=CALENDARIO!$B$2,D7&lt;=CALENDARIO!$C$2),"JANEIRO",IF(AND(D7&gt;=CALENDARIO!$B$3,D7&lt;=CALENDARIO!$C$3),"FEVEREIRO",IF(AND(D7&gt;=CALENDARIO!$B$4,D7&lt;=CALENDARIO!$C$4),"MARÇO",IF(AND(D7&gt;=CALENDARIO!$B$5,D7&lt;=CALENDARIO!$C$5),"ABRIL",IF(AND(D7&gt;=CALENDARIO!$B$6,D7&lt;=CALENDARIO!$C$6),"MAIO",IF(AND(D7&gt;=CALENDARIO!$B$7,D7&lt;=CALENDARIO!$C$7),"JUNHO",IF(AND(D7&gt;=CALENDARIO!$B$8,D7&lt;=CALENDARIO!$C$8),"JULHO",IF(AND(D7&gt;=CALENDARIO!$B$9,D7&lt;=CALENDARIO!$C$9),"AGOSTO",IF(AND(D7&gt;=CALENDARIO!$B$10,D7&lt;=CALENDARIO!$C$10),"SETEMBRO",IF(AND(D7&gt;=CALENDARIO!$B$11,D7&lt;=CALENDARIO!$C$11),"OUTUBRO",IF(AND(D7&gt;=CALENDARIO!$B$12,D7&lt;=CALENDARIO!$C$12),"NOVEMBRO",IF(AND(D7&gt;=CALENDARIO!$B$13,D7&lt;=CALENDARIO!$C$13),"DEZEMBRO","--"))))))))))))</f>
        <v>--</v>
      </c>
      <c r="K7">
        <f>YEAR(LANC_COMPRA[[#This Row],[DATA COMPRA]])</f>
        <v>1900</v>
      </c>
    </row>
    <row r="8" spans="1:11" x14ac:dyDescent="0.3">
      <c r="D8" s="1"/>
      <c r="E8" s="1"/>
      <c r="F8" s="80"/>
      <c r="G8" s="3"/>
      <c r="J8" s="16" t="str">
        <f>IF(AND(D8&gt;=CALENDARIO!$B$2,D8&lt;=CALENDARIO!$C$2),"JANEIRO",IF(AND(D8&gt;=CALENDARIO!$B$3,D8&lt;=CALENDARIO!$C$3),"FEVEREIRO",IF(AND(D8&gt;=CALENDARIO!$B$4,D8&lt;=CALENDARIO!$C$4),"MARÇO",IF(AND(D8&gt;=CALENDARIO!$B$5,D8&lt;=CALENDARIO!$C$5),"ABRIL",IF(AND(D8&gt;=CALENDARIO!$B$6,D8&lt;=CALENDARIO!$C$6),"MAIO",IF(AND(D8&gt;=CALENDARIO!$B$7,D8&lt;=CALENDARIO!$C$7),"JUNHO",IF(AND(D8&gt;=CALENDARIO!$B$8,D8&lt;=CALENDARIO!$C$8),"JULHO",IF(AND(D8&gt;=CALENDARIO!$B$9,D8&lt;=CALENDARIO!$C$9),"AGOSTO",IF(AND(D8&gt;=CALENDARIO!$B$10,D8&lt;=CALENDARIO!$C$10),"SETEMBRO",IF(AND(D8&gt;=CALENDARIO!$B$11,D8&lt;=CALENDARIO!$C$11),"OUTUBRO",IF(AND(D8&gt;=CALENDARIO!$B$12,D8&lt;=CALENDARIO!$C$12),"NOVEMBRO",IF(AND(D8&gt;=CALENDARIO!$B$13,D8&lt;=CALENDARIO!$C$13),"DEZEMBRO","--"))))))))))))</f>
        <v>--</v>
      </c>
      <c r="K8">
        <f>YEAR(LANC_COMPRA[[#This Row],[DATA COMPRA]])</f>
        <v>1900</v>
      </c>
    </row>
    <row r="9" spans="1:11" x14ac:dyDescent="0.3">
      <c r="D9" s="1"/>
      <c r="E9" s="1"/>
      <c r="F9" s="80"/>
      <c r="G9" s="3"/>
      <c r="J9" s="16" t="str">
        <f>IF(AND(D9&gt;=CALENDARIO!$B$2,D9&lt;=CALENDARIO!$C$2),"JANEIRO",IF(AND(D9&gt;=CALENDARIO!$B$3,D9&lt;=CALENDARIO!$C$3),"FEVEREIRO",IF(AND(D9&gt;=CALENDARIO!$B$4,D9&lt;=CALENDARIO!$C$4),"MARÇO",IF(AND(D9&gt;=CALENDARIO!$B$5,D9&lt;=CALENDARIO!$C$5),"ABRIL",IF(AND(D9&gt;=CALENDARIO!$B$6,D9&lt;=CALENDARIO!$C$6),"MAIO",IF(AND(D9&gt;=CALENDARIO!$B$7,D9&lt;=CALENDARIO!$C$7),"JUNHO",IF(AND(D9&gt;=CALENDARIO!$B$8,D9&lt;=CALENDARIO!$C$8),"JULHO",IF(AND(D9&gt;=CALENDARIO!$B$9,D9&lt;=CALENDARIO!$C$9),"AGOSTO",IF(AND(D9&gt;=CALENDARIO!$B$10,D9&lt;=CALENDARIO!$C$10),"SETEMBRO",IF(AND(D9&gt;=CALENDARIO!$B$11,D9&lt;=CALENDARIO!$C$11),"OUTUBRO",IF(AND(D9&gt;=CALENDARIO!$B$12,D9&lt;=CALENDARIO!$C$12),"NOVEMBRO",IF(AND(D9&gt;=CALENDARIO!$B$13,D9&lt;=CALENDARIO!$C$13),"DEZEMBRO","--"))))))))))))</f>
        <v>--</v>
      </c>
      <c r="K9">
        <f>YEAR(LANC_COMPRA[[#This Row],[DATA COMPRA]])</f>
        <v>1900</v>
      </c>
    </row>
    <row r="10" spans="1:11" x14ac:dyDescent="0.3">
      <c r="D10" s="1"/>
      <c r="E10" s="1"/>
      <c r="F10" s="80"/>
      <c r="G10" s="3"/>
      <c r="J10" s="16" t="str">
        <f>IF(AND(D10&gt;=CALENDARIO!$B$2,D10&lt;=CALENDARIO!$C$2),"JANEIRO",IF(AND(D10&gt;=CALENDARIO!$B$3,D10&lt;=CALENDARIO!$C$3),"FEVEREIRO",IF(AND(D10&gt;=CALENDARIO!$B$4,D10&lt;=CALENDARIO!$C$4),"MARÇO",IF(AND(D10&gt;=CALENDARIO!$B$5,D10&lt;=CALENDARIO!$C$5),"ABRIL",IF(AND(D10&gt;=CALENDARIO!$B$6,D10&lt;=CALENDARIO!$C$6),"MAIO",IF(AND(D10&gt;=CALENDARIO!$B$7,D10&lt;=CALENDARIO!$C$7),"JUNHO",IF(AND(D10&gt;=CALENDARIO!$B$8,D10&lt;=CALENDARIO!$C$8),"JULHO",IF(AND(D10&gt;=CALENDARIO!$B$9,D10&lt;=CALENDARIO!$C$9),"AGOSTO",IF(AND(D10&gt;=CALENDARIO!$B$10,D10&lt;=CALENDARIO!$C$10),"SETEMBRO",IF(AND(D10&gt;=CALENDARIO!$B$11,D10&lt;=CALENDARIO!$C$11),"OUTUBRO",IF(AND(D10&gt;=CALENDARIO!$B$12,D10&lt;=CALENDARIO!$C$12),"NOVEMBRO",IF(AND(D10&gt;=CALENDARIO!$B$13,D10&lt;=CALENDARIO!$C$13),"DEZEMBRO","--"))))))))))))</f>
        <v>--</v>
      </c>
      <c r="K10">
        <f>YEAR(LANC_COMPRA[[#This Row],[DATA COMPRA]])</f>
        <v>1900</v>
      </c>
    </row>
    <row r="11" spans="1:11" x14ac:dyDescent="0.3">
      <c r="D11" s="1"/>
      <c r="E11" s="1"/>
      <c r="F11" s="80"/>
      <c r="G11" s="3"/>
      <c r="J11" s="16" t="str">
        <f>IF(AND(D11&gt;=CALENDARIO!$B$2,D11&lt;=CALENDARIO!$C$2),"JANEIRO",IF(AND(D11&gt;=CALENDARIO!$B$3,D11&lt;=CALENDARIO!$C$3),"FEVEREIRO",IF(AND(D11&gt;=CALENDARIO!$B$4,D11&lt;=CALENDARIO!$C$4),"MARÇO",IF(AND(D11&gt;=CALENDARIO!$B$5,D11&lt;=CALENDARIO!$C$5),"ABRIL",IF(AND(D11&gt;=CALENDARIO!$B$6,D11&lt;=CALENDARIO!$C$6),"MAIO",IF(AND(D11&gt;=CALENDARIO!$B$7,D11&lt;=CALENDARIO!$C$7),"JUNHO",IF(AND(D11&gt;=CALENDARIO!$B$8,D11&lt;=CALENDARIO!$C$8),"JULHO",IF(AND(D11&gt;=CALENDARIO!$B$9,D11&lt;=CALENDARIO!$C$9),"AGOSTO",IF(AND(D11&gt;=CALENDARIO!$B$10,D11&lt;=CALENDARIO!$C$10),"SETEMBRO",IF(AND(D11&gt;=CALENDARIO!$B$11,D11&lt;=CALENDARIO!$C$11),"OUTUBRO",IF(AND(D11&gt;=CALENDARIO!$B$12,D11&lt;=CALENDARIO!$C$12),"NOVEMBRO",IF(AND(D11&gt;=CALENDARIO!$B$13,D11&lt;=CALENDARIO!$C$13),"DEZEMBRO","--"))))))))))))</f>
        <v>--</v>
      </c>
      <c r="K11">
        <f>YEAR(LANC_COMPRA[[#This Row],[DATA COMPRA]])</f>
        <v>1900</v>
      </c>
    </row>
    <row r="12" spans="1:11" x14ac:dyDescent="0.3">
      <c r="D12" s="1"/>
      <c r="E12" s="1"/>
      <c r="F12" s="80"/>
      <c r="G12" s="3"/>
      <c r="J12" s="16" t="str">
        <f>IF(AND(D12&gt;=CALENDARIO!$B$2,D12&lt;=CALENDARIO!$C$2),"JANEIRO",IF(AND(D12&gt;=CALENDARIO!$B$3,D12&lt;=CALENDARIO!$C$3),"FEVEREIRO",IF(AND(D12&gt;=CALENDARIO!$B$4,D12&lt;=CALENDARIO!$C$4),"MARÇO",IF(AND(D12&gt;=CALENDARIO!$B$5,D12&lt;=CALENDARIO!$C$5),"ABRIL",IF(AND(D12&gt;=CALENDARIO!$B$6,D12&lt;=CALENDARIO!$C$6),"MAIO",IF(AND(D12&gt;=CALENDARIO!$B$7,D12&lt;=CALENDARIO!$C$7),"JUNHO",IF(AND(D12&gt;=CALENDARIO!$B$8,D12&lt;=CALENDARIO!$C$8),"JULHO",IF(AND(D12&gt;=CALENDARIO!$B$9,D12&lt;=CALENDARIO!$C$9),"AGOSTO",IF(AND(D12&gt;=CALENDARIO!$B$10,D12&lt;=CALENDARIO!$C$10),"SETEMBRO",IF(AND(D12&gt;=CALENDARIO!$B$11,D12&lt;=CALENDARIO!$C$11),"OUTUBRO",IF(AND(D12&gt;=CALENDARIO!$B$12,D12&lt;=CALENDARIO!$C$12),"NOVEMBRO",IF(AND(D12&gt;=CALENDARIO!$B$13,D12&lt;=CALENDARIO!$C$13),"DEZEMBRO","--"))))))))))))</f>
        <v>--</v>
      </c>
      <c r="K12">
        <f>YEAR(LANC_COMPRA[[#This Row],[DATA COMPRA]])</f>
        <v>1900</v>
      </c>
    </row>
    <row r="13" spans="1:11" x14ac:dyDescent="0.3">
      <c r="D13" s="1"/>
      <c r="E13" s="1"/>
      <c r="F13" s="80"/>
      <c r="G13" s="3"/>
      <c r="J13" s="16" t="str">
        <f>IF(AND(D13&gt;=CALENDARIO!$B$2,D13&lt;=CALENDARIO!$C$2),"JANEIRO",IF(AND(D13&gt;=CALENDARIO!$B$3,D13&lt;=CALENDARIO!$C$3),"FEVEREIRO",IF(AND(D13&gt;=CALENDARIO!$B$4,D13&lt;=CALENDARIO!$C$4),"MARÇO",IF(AND(D13&gt;=CALENDARIO!$B$5,D13&lt;=CALENDARIO!$C$5),"ABRIL",IF(AND(D13&gt;=CALENDARIO!$B$6,D13&lt;=CALENDARIO!$C$6),"MAIO",IF(AND(D13&gt;=CALENDARIO!$B$7,D13&lt;=CALENDARIO!$C$7),"JUNHO",IF(AND(D13&gt;=CALENDARIO!$B$8,D13&lt;=CALENDARIO!$C$8),"JULHO",IF(AND(D13&gt;=CALENDARIO!$B$9,D13&lt;=CALENDARIO!$C$9),"AGOSTO",IF(AND(D13&gt;=CALENDARIO!$B$10,D13&lt;=CALENDARIO!$C$10),"SETEMBRO",IF(AND(D13&gt;=CALENDARIO!$B$11,D13&lt;=CALENDARIO!$C$11),"OUTUBRO",IF(AND(D13&gt;=CALENDARIO!$B$12,D13&lt;=CALENDARIO!$C$12),"NOVEMBRO",IF(AND(D13&gt;=CALENDARIO!$B$13,D13&lt;=CALENDARIO!$C$13),"DEZEMBRO","--"))))))))))))</f>
        <v>--</v>
      </c>
      <c r="K13">
        <f>YEAR(LANC_COMPRA[[#This Row],[DATA COMPRA]])</f>
        <v>1900</v>
      </c>
    </row>
    <row r="14" spans="1:11" x14ac:dyDescent="0.3">
      <c r="D14" s="1"/>
      <c r="E14" s="1"/>
      <c r="F14" s="80"/>
      <c r="G14" s="3"/>
      <c r="J14" s="16" t="str">
        <f>IF(AND(D14&gt;=CALENDARIO!$B$2,D14&lt;=CALENDARIO!$C$2),"JANEIRO",IF(AND(D14&gt;=CALENDARIO!$B$3,D14&lt;=CALENDARIO!$C$3),"FEVEREIRO",IF(AND(D14&gt;=CALENDARIO!$B$4,D14&lt;=CALENDARIO!$C$4),"MARÇO",IF(AND(D14&gt;=CALENDARIO!$B$5,D14&lt;=CALENDARIO!$C$5),"ABRIL",IF(AND(D14&gt;=CALENDARIO!$B$6,D14&lt;=CALENDARIO!$C$6),"MAIO",IF(AND(D14&gt;=CALENDARIO!$B$7,D14&lt;=CALENDARIO!$C$7),"JUNHO",IF(AND(D14&gt;=CALENDARIO!$B$8,D14&lt;=CALENDARIO!$C$8),"JULHO",IF(AND(D14&gt;=CALENDARIO!$B$9,D14&lt;=CALENDARIO!$C$9),"AGOSTO",IF(AND(D14&gt;=CALENDARIO!$B$10,D14&lt;=CALENDARIO!$C$10),"SETEMBRO",IF(AND(D14&gt;=CALENDARIO!$B$11,D14&lt;=CALENDARIO!$C$11),"OUTUBRO",IF(AND(D14&gt;=CALENDARIO!$B$12,D14&lt;=CALENDARIO!$C$12),"NOVEMBRO",IF(AND(D14&gt;=CALENDARIO!$B$13,D14&lt;=CALENDARIO!$C$13),"DEZEMBRO","--"))))))))))))</f>
        <v>--</v>
      </c>
      <c r="K14">
        <f>YEAR(LANC_COMPRA[[#This Row],[DATA COMPRA]])</f>
        <v>1900</v>
      </c>
    </row>
    <row r="15" spans="1:11" x14ac:dyDescent="0.3">
      <c r="D15" s="1"/>
      <c r="E15" s="1"/>
      <c r="F15" s="80"/>
      <c r="G15" s="3"/>
      <c r="J15" s="16" t="str">
        <f>IF(AND(D15&gt;=CALENDARIO!$B$2,D15&lt;=CALENDARIO!$C$2),"JANEIRO",IF(AND(D15&gt;=CALENDARIO!$B$3,D15&lt;=CALENDARIO!$C$3),"FEVEREIRO",IF(AND(D15&gt;=CALENDARIO!$B$4,D15&lt;=CALENDARIO!$C$4),"MARÇO",IF(AND(D15&gt;=CALENDARIO!$B$5,D15&lt;=CALENDARIO!$C$5),"ABRIL",IF(AND(D15&gt;=CALENDARIO!$B$6,D15&lt;=CALENDARIO!$C$6),"MAIO",IF(AND(D15&gt;=CALENDARIO!$B$7,D15&lt;=CALENDARIO!$C$7),"JUNHO",IF(AND(D15&gt;=CALENDARIO!$B$8,D15&lt;=CALENDARIO!$C$8),"JULHO",IF(AND(D15&gt;=CALENDARIO!$B$9,D15&lt;=CALENDARIO!$C$9),"AGOSTO",IF(AND(D15&gt;=CALENDARIO!$B$10,D15&lt;=CALENDARIO!$C$10),"SETEMBRO",IF(AND(D15&gt;=CALENDARIO!$B$11,D15&lt;=CALENDARIO!$C$11),"OUTUBRO",IF(AND(D15&gt;=CALENDARIO!$B$12,D15&lt;=CALENDARIO!$C$12),"NOVEMBRO",IF(AND(D15&gt;=CALENDARIO!$B$13,D15&lt;=CALENDARIO!$C$13),"DEZEMBRO","--"))))))))))))</f>
        <v>--</v>
      </c>
      <c r="K15">
        <f>YEAR(LANC_COMPRA[[#This Row],[DATA COMPRA]])</f>
        <v>1900</v>
      </c>
    </row>
    <row r="16" spans="1:11" x14ac:dyDescent="0.3">
      <c r="D16" s="1"/>
      <c r="E16" s="1"/>
      <c r="F16" s="80"/>
      <c r="G16" s="3"/>
      <c r="J16" s="16" t="str">
        <f>IF(AND(D16&gt;=CALENDARIO!$B$2,D16&lt;=CALENDARIO!$C$2),"JANEIRO",IF(AND(D16&gt;=CALENDARIO!$B$3,D16&lt;=CALENDARIO!$C$3),"FEVEREIRO",IF(AND(D16&gt;=CALENDARIO!$B$4,D16&lt;=CALENDARIO!$C$4),"MARÇO",IF(AND(D16&gt;=CALENDARIO!$B$5,D16&lt;=CALENDARIO!$C$5),"ABRIL",IF(AND(D16&gt;=CALENDARIO!$B$6,D16&lt;=CALENDARIO!$C$6),"MAIO",IF(AND(D16&gt;=CALENDARIO!$B$7,D16&lt;=CALENDARIO!$C$7),"JUNHO",IF(AND(D16&gt;=CALENDARIO!$B$8,D16&lt;=CALENDARIO!$C$8),"JULHO",IF(AND(D16&gt;=CALENDARIO!$B$9,D16&lt;=CALENDARIO!$C$9),"AGOSTO",IF(AND(D16&gt;=CALENDARIO!$B$10,D16&lt;=CALENDARIO!$C$10),"SETEMBRO",IF(AND(D16&gt;=CALENDARIO!$B$11,D16&lt;=CALENDARIO!$C$11),"OUTUBRO",IF(AND(D16&gt;=CALENDARIO!$B$12,D16&lt;=CALENDARIO!$C$12),"NOVEMBRO",IF(AND(D16&gt;=CALENDARIO!$B$13,D16&lt;=CALENDARIO!$C$13),"DEZEMBRO","--"))))))))))))</f>
        <v>--</v>
      </c>
      <c r="K16">
        <f>YEAR(LANC_COMPRA[[#This Row],[DATA COMPRA]])</f>
        <v>1900</v>
      </c>
    </row>
    <row r="17" spans="4:11" x14ac:dyDescent="0.3">
      <c r="D17" s="1"/>
      <c r="E17" s="1"/>
      <c r="F17" s="80"/>
      <c r="G17" s="3"/>
      <c r="J17" s="16" t="str">
        <f>IF(AND(D17&gt;=CALENDARIO!$B$2,D17&lt;=CALENDARIO!$C$2),"JANEIRO",IF(AND(D17&gt;=CALENDARIO!$B$3,D17&lt;=CALENDARIO!$C$3),"FEVEREIRO",IF(AND(D17&gt;=CALENDARIO!$B$4,D17&lt;=CALENDARIO!$C$4),"MARÇO",IF(AND(D17&gt;=CALENDARIO!$B$5,D17&lt;=CALENDARIO!$C$5),"ABRIL",IF(AND(D17&gt;=CALENDARIO!$B$6,D17&lt;=CALENDARIO!$C$6),"MAIO",IF(AND(D17&gt;=CALENDARIO!$B$7,D17&lt;=CALENDARIO!$C$7),"JUNHO",IF(AND(D17&gt;=CALENDARIO!$B$8,D17&lt;=CALENDARIO!$C$8),"JULHO",IF(AND(D17&gt;=CALENDARIO!$B$9,D17&lt;=CALENDARIO!$C$9),"AGOSTO",IF(AND(D17&gt;=CALENDARIO!$B$10,D17&lt;=CALENDARIO!$C$10),"SETEMBRO",IF(AND(D17&gt;=CALENDARIO!$B$11,D17&lt;=CALENDARIO!$C$11),"OUTUBRO",IF(AND(D17&gt;=CALENDARIO!$B$12,D17&lt;=CALENDARIO!$C$12),"NOVEMBRO",IF(AND(D17&gt;=CALENDARIO!$B$13,D17&lt;=CALENDARIO!$C$13),"DEZEMBRO","--"))))))))))))</f>
        <v>--</v>
      </c>
      <c r="K17">
        <f>YEAR(LANC_COMPRA[[#This Row],[DATA COMPRA]])</f>
        <v>1900</v>
      </c>
    </row>
    <row r="18" spans="4:11" x14ac:dyDescent="0.3">
      <c r="D18" s="1"/>
      <c r="E18" s="1"/>
      <c r="F18" s="80"/>
      <c r="G18" s="3"/>
      <c r="J18" s="16" t="str">
        <f>IF(AND(D18&gt;=CALENDARIO!$B$2,D18&lt;=CALENDARIO!$C$2),"JANEIRO",IF(AND(D18&gt;=CALENDARIO!$B$3,D18&lt;=CALENDARIO!$C$3),"FEVEREIRO",IF(AND(D18&gt;=CALENDARIO!$B$4,D18&lt;=CALENDARIO!$C$4),"MARÇO",IF(AND(D18&gt;=CALENDARIO!$B$5,D18&lt;=CALENDARIO!$C$5),"ABRIL",IF(AND(D18&gt;=CALENDARIO!$B$6,D18&lt;=CALENDARIO!$C$6),"MAIO",IF(AND(D18&gt;=CALENDARIO!$B$7,D18&lt;=CALENDARIO!$C$7),"JUNHO",IF(AND(D18&gt;=CALENDARIO!$B$8,D18&lt;=CALENDARIO!$C$8),"JULHO",IF(AND(D18&gt;=CALENDARIO!$B$9,D18&lt;=CALENDARIO!$C$9),"AGOSTO",IF(AND(D18&gt;=CALENDARIO!$B$10,D18&lt;=CALENDARIO!$C$10),"SETEMBRO",IF(AND(D18&gt;=CALENDARIO!$B$11,D18&lt;=CALENDARIO!$C$11),"OUTUBRO",IF(AND(D18&gt;=CALENDARIO!$B$12,D18&lt;=CALENDARIO!$C$12),"NOVEMBRO",IF(AND(D18&gt;=CALENDARIO!$B$13,D18&lt;=CALENDARIO!$C$13),"DEZEMBRO","--"))))))))))))</f>
        <v>--</v>
      </c>
      <c r="K18">
        <f>YEAR(LANC_COMPRA[[#This Row],[DATA COMPRA]])</f>
        <v>1900</v>
      </c>
    </row>
    <row r="19" spans="4:11" x14ac:dyDescent="0.3">
      <c r="D19" s="1"/>
      <c r="E19" s="1"/>
      <c r="F19" s="80"/>
      <c r="G19" s="3"/>
      <c r="J19" s="16" t="str">
        <f>IF(AND(D19&gt;=CALENDARIO!$B$2,D19&lt;=CALENDARIO!$C$2),"JANEIRO",IF(AND(D19&gt;=CALENDARIO!$B$3,D19&lt;=CALENDARIO!$C$3),"FEVEREIRO",IF(AND(D19&gt;=CALENDARIO!$B$4,D19&lt;=CALENDARIO!$C$4),"MARÇO",IF(AND(D19&gt;=CALENDARIO!$B$5,D19&lt;=CALENDARIO!$C$5),"ABRIL",IF(AND(D19&gt;=CALENDARIO!$B$6,D19&lt;=CALENDARIO!$C$6),"MAIO",IF(AND(D19&gt;=CALENDARIO!$B$7,D19&lt;=CALENDARIO!$C$7),"JUNHO",IF(AND(D19&gt;=CALENDARIO!$B$8,D19&lt;=CALENDARIO!$C$8),"JULHO",IF(AND(D19&gt;=CALENDARIO!$B$9,D19&lt;=CALENDARIO!$C$9),"AGOSTO",IF(AND(D19&gt;=CALENDARIO!$B$10,D19&lt;=CALENDARIO!$C$10),"SETEMBRO",IF(AND(D19&gt;=CALENDARIO!$B$11,D19&lt;=CALENDARIO!$C$11),"OUTUBRO",IF(AND(D19&gt;=CALENDARIO!$B$12,D19&lt;=CALENDARIO!$C$12),"NOVEMBRO",IF(AND(D19&gt;=CALENDARIO!$B$13,D19&lt;=CALENDARIO!$C$13),"DEZEMBRO","--"))))))))))))</f>
        <v>--</v>
      </c>
      <c r="K19">
        <f>YEAR(LANC_COMPRA[[#This Row],[DATA COMPRA]])</f>
        <v>1900</v>
      </c>
    </row>
    <row r="20" spans="4:11" x14ac:dyDescent="0.3">
      <c r="D20" s="1"/>
      <c r="E20" s="1"/>
      <c r="F20" s="80"/>
      <c r="G20" s="3"/>
      <c r="J20" s="16" t="str">
        <f>IF(AND(D20&gt;=CALENDARIO!$B$2,D20&lt;=CALENDARIO!$C$2),"JANEIRO",IF(AND(D20&gt;=CALENDARIO!$B$3,D20&lt;=CALENDARIO!$C$3),"FEVEREIRO",IF(AND(D20&gt;=CALENDARIO!$B$4,D20&lt;=CALENDARIO!$C$4),"MARÇO",IF(AND(D20&gt;=CALENDARIO!$B$5,D20&lt;=CALENDARIO!$C$5),"ABRIL",IF(AND(D20&gt;=CALENDARIO!$B$6,D20&lt;=CALENDARIO!$C$6),"MAIO",IF(AND(D20&gt;=CALENDARIO!$B$7,D20&lt;=CALENDARIO!$C$7),"JUNHO",IF(AND(D20&gt;=CALENDARIO!$B$8,D20&lt;=CALENDARIO!$C$8),"JULHO",IF(AND(D20&gt;=CALENDARIO!$B$9,D20&lt;=CALENDARIO!$C$9),"AGOSTO",IF(AND(D20&gt;=CALENDARIO!$B$10,D20&lt;=CALENDARIO!$C$10),"SETEMBRO",IF(AND(D20&gt;=CALENDARIO!$B$11,D20&lt;=CALENDARIO!$C$11),"OUTUBRO",IF(AND(D20&gt;=CALENDARIO!$B$12,D20&lt;=CALENDARIO!$C$12),"NOVEMBRO",IF(AND(D20&gt;=CALENDARIO!$B$13,D20&lt;=CALENDARIO!$C$13),"DEZEMBRO","--"))))))))))))</f>
        <v>--</v>
      </c>
      <c r="K20">
        <f>YEAR(LANC_COMPRA[[#This Row],[DATA COMPRA]])</f>
        <v>1900</v>
      </c>
    </row>
    <row r="21" spans="4:11" x14ac:dyDescent="0.3">
      <c r="D21" s="1"/>
      <c r="E21" s="1"/>
      <c r="F21" s="80"/>
      <c r="G21" s="3"/>
      <c r="J21" s="16" t="str">
        <f>IF(AND(D21&gt;=CALENDARIO!$B$2,D21&lt;=CALENDARIO!$C$2),"JANEIRO",IF(AND(D21&gt;=CALENDARIO!$B$3,D21&lt;=CALENDARIO!$C$3),"FEVEREIRO",IF(AND(D21&gt;=CALENDARIO!$B$4,D21&lt;=CALENDARIO!$C$4),"MARÇO",IF(AND(D21&gt;=CALENDARIO!$B$5,D21&lt;=CALENDARIO!$C$5),"ABRIL",IF(AND(D21&gt;=CALENDARIO!$B$6,D21&lt;=CALENDARIO!$C$6),"MAIO",IF(AND(D21&gt;=CALENDARIO!$B$7,D21&lt;=CALENDARIO!$C$7),"JUNHO",IF(AND(D21&gt;=CALENDARIO!$B$8,D21&lt;=CALENDARIO!$C$8),"JULHO",IF(AND(D21&gt;=CALENDARIO!$B$9,D21&lt;=CALENDARIO!$C$9),"AGOSTO",IF(AND(D21&gt;=CALENDARIO!$B$10,D21&lt;=CALENDARIO!$C$10),"SETEMBRO",IF(AND(D21&gt;=CALENDARIO!$B$11,D21&lt;=CALENDARIO!$C$11),"OUTUBRO",IF(AND(D21&gt;=CALENDARIO!$B$12,D21&lt;=CALENDARIO!$C$12),"NOVEMBRO",IF(AND(D21&gt;=CALENDARIO!$B$13,D21&lt;=CALENDARIO!$C$13),"DEZEMBRO","--"))))))))))))</f>
        <v>--</v>
      </c>
      <c r="K21">
        <f>YEAR(LANC_COMPRA[[#This Row],[DATA COMPRA]])</f>
        <v>1900</v>
      </c>
    </row>
    <row r="22" spans="4:11" x14ac:dyDescent="0.3">
      <c r="D22" s="1"/>
      <c r="E22" s="1"/>
      <c r="F22" s="80"/>
      <c r="G22" s="3"/>
      <c r="J22" s="16" t="str">
        <f>IF(AND(D22&gt;=CALENDARIO!$B$2,D22&lt;=CALENDARIO!$C$2),"JANEIRO",IF(AND(D22&gt;=CALENDARIO!$B$3,D22&lt;=CALENDARIO!$C$3),"FEVEREIRO",IF(AND(D22&gt;=CALENDARIO!$B$4,D22&lt;=CALENDARIO!$C$4),"MARÇO",IF(AND(D22&gt;=CALENDARIO!$B$5,D22&lt;=CALENDARIO!$C$5),"ABRIL",IF(AND(D22&gt;=CALENDARIO!$B$6,D22&lt;=CALENDARIO!$C$6),"MAIO",IF(AND(D22&gt;=CALENDARIO!$B$7,D22&lt;=CALENDARIO!$C$7),"JUNHO",IF(AND(D22&gt;=CALENDARIO!$B$8,D22&lt;=CALENDARIO!$C$8),"JULHO",IF(AND(D22&gt;=CALENDARIO!$B$9,D22&lt;=CALENDARIO!$C$9),"AGOSTO",IF(AND(D22&gt;=CALENDARIO!$B$10,D22&lt;=CALENDARIO!$C$10),"SETEMBRO",IF(AND(D22&gt;=CALENDARIO!$B$11,D22&lt;=CALENDARIO!$C$11),"OUTUBRO",IF(AND(D22&gt;=CALENDARIO!$B$12,D22&lt;=CALENDARIO!$C$12),"NOVEMBRO",IF(AND(D22&gt;=CALENDARIO!$B$13,D22&lt;=CALENDARIO!$C$13),"DEZEMBRO","--"))))))))))))</f>
        <v>--</v>
      </c>
      <c r="K22">
        <f>YEAR(LANC_COMPRA[[#This Row],[DATA COMPRA]])</f>
        <v>1900</v>
      </c>
    </row>
    <row r="23" spans="4:11" x14ac:dyDescent="0.3">
      <c r="D23" s="1"/>
      <c r="E23" s="1"/>
      <c r="F23" s="80"/>
      <c r="G23" s="3"/>
      <c r="J23" s="16" t="str">
        <f>IF(AND(D23&gt;=CALENDARIO!$B$2,D23&lt;=CALENDARIO!$C$2),"JANEIRO",IF(AND(D23&gt;=CALENDARIO!$B$3,D23&lt;=CALENDARIO!$C$3),"FEVEREIRO",IF(AND(D23&gt;=CALENDARIO!$B$4,D23&lt;=CALENDARIO!$C$4),"MARÇO",IF(AND(D23&gt;=CALENDARIO!$B$5,D23&lt;=CALENDARIO!$C$5),"ABRIL",IF(AND(D23&gt;=CALENDARIO!$B$6,D23&lt;=CALENDARIO!$C$6),"MAIO",IF(AND(D23&gt;=CALENDARIO!$B$7,D23&lt;=CALENDARIO!$C$7),"JUNHO",IF(AND(D23&gt;=CALENDARIO!$B$8,D23&lt;=CALENDARIO!$C$8),"JULHO",IF(AND(D23&gt;=CALENDARIO!$B$9,D23&lt;=CALENDARIO!$C$9),"AGOSTO",IF(AND(D23&gt;=CALENDARIO!$B$10,D23&lt;=CALENDARIO!$C$10),"SETEMBRO",IF(AND(D23&gt;=CALENDARIO!$B$11,D23&lt;=CALENDARIO!$C$11),"OUTUBRO",IF(AND(D23&gt;=CALENDARIO!$B$12,D23&lt;=CALENDARIO!$C$12),"NOVEMBRO",IF(AND(D23&gt;=CALENDARIO!$B$13,D23&lt;=CALENDARIO!$C$13),"DEZEMBRO","--"))))))))))))</f>
        <v>--</v>
      </c>
      <c r="K23">
        <f>YEAR(LANC_COMPRA[[#This Row],[DATA COMPRA]])</f>
        <v>1900</v>
      </c>
    </row>
    <row r="24" spans="4:11" x14ac:dyDescent="0.3">
      <c r="D24" s="1"/>
      <c r="E24" s="1"/>
      <c r="F24" s="80"/>
      <c r="G24" s="3"/>
      <c r="J24" s="16" t="str">
        <f>IF(AND(D24&gt;=CALENDARIO!$B$2,D24&lt;=CALENDARIO!$C$2),"JANEIRO",IF(AND(D24&gt;=CALENDARIO!$B$3,D24&lt;=CALENDARIO!$C$3),"FEVEREIRO",IF(AND(D24&gt;=CALENDARIO!$B$4,D24&lt;=CALENDARIO!$C$4),"MARÇO",IF(AND(D24&gt;=CALENDARIO!$B$5,D24&lt;=CALENDARIO!$C$5),"ABRIL",IF(AND(D24&gt;=CALENDARIO!$B$6,D24&lt;=CALENDARIO!$C$6),"MAIO",IF(AND(D24&gt;=CALENDARIO!$B$7,D24&lt;=CALENDARIO!$C$7),"JUNHO",IF(AND(D24&gt;=CALENDARIO!$B$8,D24&lt;=CALENDARIO!$C$8),"JULHO",IF(AND(D24&gt;=CALENDARIO!$B$9,D24&lt;=CALENDARIO!$C$9),"AGOSTO",IF(AND(D24&gt;=CALENDARIO!$B$10,D24&lt;=CALENDARIO!$C$10),"SETEMBRO",IF(AND(D24&gt;=CALENDARIO!$B$11,D24&lt;=CALENDARIO!$C$11),"OUTUBRO",IF(AND(D24&gt;=CALENDARIO!$B$12,D24&lt;=CALENDARIO!$C$12),"NOVEMBRO",IF(AND(D24&gt;=CALENDARIO!$B$13,D24&lt;=CALENDARIO!$C$13),"DEZEMBRO","--"))))))))))))</f>
        <v>--</v>
      </c>
      <c r="K24">
        <f>YEAR(LANC_COMPRA[[#This Row],[DATA COMPRA]])</f>
        <v>1900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09" r:id="rId3" name="Button 53">
              <controlPr defaultSize="0" print="0" autoFill="0" autoPict="0" macro="[0]!IR_HOME">
                <anchor>
                  <from>
                    <xdr:col>1</xdr:col>
                    <xdr:colOff>0</xdr:colOff>
                    <xdr:row>0</xdr:row>
                    <xdr:rowOff>7620</xdr:rowOff>
                  </from>
                  <to>
                    <xdr:col>1</xdr:col>
                    <xdr:colOff>960120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4" name="Button 54">
              <controlPr defaultSize="0" print="0" autoFill="0" autoPict="0" macro="[0]!IR_DIN_LAN_FATU">
                <anchor>
                  <from>
                    <xdr:col>1</xdr:col>
                    <xdr:colOff>1021080</xdr:colOff>
                    <xdr:row>0</xdr:row>
                    <xdr:rowOff>7620</xdr:rowOff>
                  </from>
                  <to>
                    <xdr:col>1</xdr:col>
                    <xdr:colOff>1920240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" name="Button 55">
              <controlPr defaultSize="0" print="0" autoFill="0" autoPict="0" macro="[0]!IR_DIN_LAN_OP">
                <anchor>
                  <from>
                    <xdr:col>1</xdr:col>
                    <xdr:colOff>1981200</xdr:colOff>
                    <xdr:row>0</xdr:row>
                    <xdr:rowOff>7620</xdr:rowOff>
                  </from>
                  <to>
                    <xdr:col>2</xdr:col>
                    <xdr:colOff>419100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6" name="Button 56">
              <controlPr defaultSize="0" print="0" autoFill="0" autoPict="0" macro="[0]!IR_DIN_LAN_COMPRA">
                <anchor>
                  <from>
                    <xdr:col>2</xdr:col>
                    <xdr:colOff>487680</xdr:colOff>
                    <xdr:row>0</xdr:row>
                    <xdr:rowOff>7620</xdr:rowOff>
                  </from>
                  <to>
                    <xdr:col>2</xdr:col>
                    <xdr:colOff>1440180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7" name="Button 57">
              <controlPr defaultSize="0" print="0" autoFill="0" autoPict="0" macro="[0]!IR_DIN_LAN_DESP">
                <anchor>
                  <from>
                    <xdr:col>2</xdr:col>
                    <xdr:colOff>1508760</xdr:colOff>
                    <xdr:row>0</xdr:row>
                    <xdr:rowOff>7620</xdr:rowOff>
                  </from>
                  <to>
                    <xdr:col>3</xdr:col>
                    <xdr:colOff>891540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8" name="Button 58">
              <controlPr defaultSize="0" print="0" autoFill="0" autoPict="0" macro="[0]!IR_DIN_LAN_DESL">
                <anchor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4</xdr:col>
                    <xdr:colOff>769620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9" name="Button 59">
              <controlPr defaultSize="0" print="0" autoFill="0" autoPict="0" macro="[0]!IR_DIN_LAN_HORAS">
                <anchor>
                  <from>
                    <xdr:col>4</xdr:col>
                    <xdr:colOff>830580</xdr:colOff>
                    <xdr:row>0</xdr:row>
                    <xdr:rowOff>7620</xdr:rowOff>
                  </from>
                  <to>
                    <xdr:col>5</xdr:col>
                    <xdr:colOff>304800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10" name="Button 60">
              <controlPr defaultSize="0" print="0" autoFill="0" autoPict="0" macro="[0]!IR_DIN_LAN_OP_EXTRA">
                <anchor>
                  <from>
                    <xdr:col>5</xdr:col>
                    <xdr:colOff>373380</xdr:colOff>
                    <xdr:row>0</xdr:row>
                    <xdr:rowOff>7620</xdr:rowOff>
                  </from>
                  <to>
                    <xdr:col>6</xdr:col>
                    <xdr:colOff>388620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Button 61">
              <controlPr defaultSize="0" print="0" autoFill="0" autoPict="0" macro="[0]!IR_DIN_LAN_FATU_EXTRA">
                <anchor>
                  <from>
                    <xdr:col>6</xdr:col>
                    <xdr:colOff>449580</xdr:colOff>
                    <xdr:row>0</xdr:row>
                    <xdr:rowOff>7620</xdr:rowOff>
                  </from>
                  <to>
                    <xdr:col>7</xdr:col>
                    <xdr:colOff>601980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12" name="Button 62">
              <controlPr defaultSize="0" autoFill="0" autoPict="0" macro="[0]!IR_DIN_LAN_ORC">
                <anchor>
                  <from>
                    <xdr:col>7</xdr:col>
                    <xdr:colOff>647700</xdr:colOff>
                    <xdr:row>0</xdr:row>
                    <xdr:rowOff>7620</xdr:rowOff>
                  </from>
                  <to>
                    <xdr:col>8</xdr:col>
                    <xdr:colOff>632460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3" name="Button 63">
              <controlPr defaultSize="0" autoFill="0" autoPict="0" macro="[0]!IR_RESUMO_FAT">
                <anchor>
                  <from>
                    <xdr:col>8</xdr:col>
                    <xdr:colOff>670560</xdr:colOff>
                    <xdr:row>0</xdr:row>
                    <xdr:rowOff>0</xdr:rowOff>
                  </from>
                  <to>
                    <xdr:col>9</xdr:col>
                    <xdr:colOff>708660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14" name="Button 64">
              <controlPr defaultSize="0" autoFill="0" autoPict="0" macro="[0]!IR_DIN_AP">
                <anchor>
                  <from>
                    <xdr:col>9</xdr:col>
                    <xdr:colOff>754380</xdr:colOff>
                    <xdr:row>0</xdr:row>
                    <xdr:rowOff>0</xdr:rowOff>
                  </from>
                  <to>
                    <xdr:col>10</xdr:col>
                    <xdr:colOff>388620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VALORES_HXH!$J$2:$J$8</xm:f>
          </x14:formula1>
          <xm:sqref>H5:H24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tabColor theme="8" tint="0.59999389629810485"/>
  </sheetPr>
  <dimension ref="A1:N9"/>
  <sheetViews>
    <sheetView showGridLines="0" zoomScale="85" zoomScaleNormal="85" workbookViewId="0">
      <pane xSplit="3" ySplit="4" topLeftCell="D5" activePane="bottomRight" state="frozen"/>
      <selection activeCell="H30" sqref="H30"/>
      <selection pane="topRight" activeCell="H30" sqref="H30"/>
      <selection pane="bottomLeft" activeCell="H30" sqref="H30"/>
      <selection pane="bottomRight" activeCell="L5" sqref="L5"/>
    </sheetView>
  </sheetViews>
  <sheetFormatPr defaultColWidth="0" defaultRowHeight="14.4" x14ac:dyDescent="0.3"/>
  <cols>
    <col min="1" max="1" width="11.5546875" bestFit="1" customWidth="1"/>
    <col min="2" max="2" width="14.33203125" customWidth="1"/>
    <col min="3" max="3" width="18.5546875" customWidth="1"/>
    <col min="4" max="4" width="10.5546875" bestFit="1" customWidth="1"/>
    <col min="5" max="5" width="13.5546875" bestFit="1" customWidth="1"/>
    <col min="6" max="6" width="21.6640625" customWidth="1"/>
    <col min="7" max="7" width="8.88671875" hidden="1" customWidth="1"/>
    <col min="8" max="8" width="16.88671875" customWidth="1"/>
    <col min="9" max="9" width="16.5546875" style="1" customWidth="1"/>
    <col min="10" max="10" width="29.5546875" style="3" customWidth="1"/>
    <col min="11" max="11" width="15.33203125" customWidth="1"/>
    <col min="12" max="12" width="21.33203125" customWidth="1"/>
    <col min="13" max="13" width="22" bestFit="1" customWidth="1"/>
    <col min="14" max="14" width="0" hidden="1" customWidth="1"/>
    <col min="15" max="16384" width="9.109375" hidden="1"/>
  </cols>
  <sheetData>
    <row r="1" spans="1:13" ht="54" customHeight="1" x14ac:dyDescent="0.3">
      <c r="A1" s="77"/>
      <c r="B1" s="77"/>
      <c r="C1" s="77"/>
      <c r="D1" s="77"/>
      <c r="E1" s="77"/>
      <c r="F1" s="77"/>
      <c r="G1" s="77"/>
      <c r="H1" s="77"/>
      <c r="I1" s="91"/>
      <c r="J1" s="90"/>
      <c r="K1" s="77"/>
      <c r="L1" s="77"/>
      <c r="M1" s="77"/>
    </row>
    <row r="2" spans="1:13" s="130" customFormat="1" ht="24" customHeight="1" x14ac:dyDescent="0.3">
      <c r="I2" s="132"/>
      <c r="J2" s="131"/>
    </row>
    <row r="3" spans="1:13" ht="12" customHeight="1" x14ac:dyDescent="0.3"/>
    <row r="4" spans="1:13" x14ac:dyDescent="0.3">
      <c r="A4" s="41" t="s">
        <v>0</v>
      </c>
      <c r="B4" s="41" t="s">
        <v>46</v>
      </c>
      <c r="C4" s="41" t="s">
        <v>1</v>
      </c>
      <c r="D4" s="41" t="s">
        <v>47</v>
      </c>
      <c r="E4" s="41" t="s">
        <v>4</v>
      </c>
      <c r="F4" s="41" t="s">
        <v>175</v>
      </c>
      <c r="G4" s="41" t="s">
        <v>48</v>
      </c>
      <c r="H4" s="42" t="s">
        <v>49</v>
      </c>
      <c r="I4" s="43" t="s">
        <v>50</v>
      </c>
      <c r="J4" s="41" t="s">
        <v>41</v>
      </c>
      <c r="K4" s="41" t="s">
        <v>31</v>
      </c>
      <c r="L4" s="41" t="s">
        <v>52</v>
      </c>
      <c r="M4" s="41" t="s">
        <v>53</v>
      </c>
    </row>
    <row r="5" spans="1:13" x14ac:dyDescent="0.3">
      <c r="A5" s="16"/>
      <c r="B5" s="80"/>
      <c r="C5" t="e">
        <f>VLOOKUP(LANC_FAT[[#This Row],[OP/OS]],LAN_OP[[OP/OS]:[COORDENADOR DO PROJETO]],4,0)</f>
        <v>#N/A</v>
      </c>
      <c r="D5" t="e">
        <f>VLOOKUP(LANC_FAT[[#This Row],[OP/OS]],LAN_OP[[OP/OS]:[COORDENADOR DO PROJETO]],5,0)</f>
        <v>#N/A</v>
      </c>
      <c r="E5" t="e">
        <f>VLOOKUP(LANC_FAT[[#This Row],[OP/OS]],LAN_OP[[OP/OS]:[COORDENADOR DO PROJETO]],9,0)</f>
        <v>#N/A</v>
      </c>
      <c r="G5" s="16"/>
      <c r="H5" s="1"/>
      <c r="I5" s="3" t="e">
        <f>VLOOKUP(LANC_FAT[[#This Row],[OP/OS]],LAN_OP[[OP/OS]:[COORDENADOR DO PROJETO]],10,0)</f>
        <v>#N/A</v>
      </c>
      <c r="L5" s="16" t="str">
        <f>IF(AND(H5&gt;=CALENDARIO!$B$2,H5&lt;=CALENDARIO!$C$2),"JANEIRO",IF(AND(H5&gt;=CALENDARIO!$B$3,H5&lt;=CALENDARIO!$C$3),"FEVEREIRO",IF(AND(H5&gt;=CALENDARIO!$B$4,H5&lt;=CALENDARIO!$C$4),"MARÇO",IF(AND(H5&gt;=CALENDARIO!$B$5,H5&lt;=CALENDARIO!$C$5),"ABRIL",IF(AND(H5&gt;=CALENDARIO!$B$6,H5&lt;=CALENDARIO!$C$6),"MAIO",IF(AND(H5&gt;=CALENDARIO!$B$7,H5&lt;=CALENDARIO!$C$7),"JUNHO",IF(AND(H5&gt;=CALENDARIO!$B$8,H5&lt;=CALENDARIO!$C$8),"JULHO",IF(AND(H5&gt;=CALENDARIO!$B$9,H5&lt;=CALENDARIO!$C$9),"AGOSTO",IF(AND(H5&gt;=CALENDARIO!$B$10,H5&lt;=CALENDARIO!$C$10),"SETEMBRO",IF(AND(H5&gt;=CALENDARIO!$B$11,H5&lt;=CALENDARIO!$C$11),"OUTUBRO",IF(AND(H5&gt;=CALENDARIO!$B$12,H5&lt;=CALENDARIO!$C$12),"NOVEMBRO",IF(AND(H5&gt;=CALENDARIO!$B$13,H5&lt;=CALENDARIO!$C$13),"DEZEMBRO","--"))))))))))))</f>
        <v>--</v>
      </c>
      <c r="M5">
        <f>YEAR(LANC_FAT[[#This Row],[DATA EMISSÃO]])</f>
        <v>1900</v>
      </c>
    </row>
    <row r="6" spans="1:13" x14ac:dyDescent="0.3">
      <c r="A6" s="16"/>
      <c r="B6" s="80"/>
      <c r="C6" t="e">
        <f>VLOOKUP(LANC_FAT[[#This Row],[OP/OS]],LAN_OP[[OP/OS]:[COORDENADOR DO PROJETO]],4,0)</f>
        <v>#N/A</v>
      </c>
      <c r="D6" t="e">
        <f>VLOOKUP(LANC_FAT[[#This Row],[OP/OS]],LAN_OP[[OP/OS]:[COORDENADOR DO PROJETO]],5,0)</f>
        <v>#N/A</v>
      </c>
      <c r="E6" t="e">
        <f>VLOOKUP(LANC_FAT[[#This Row],[OP/OS]],LAN_OP[[OP/OS]:[COORDENADOR DO PROJETO]],9,0)</f>
        <v>#N/A</v>
      </c>
      <c r="G6" s="16"/>
      <c r="H6" s="1"/>
      <c r="I6" s="3" t="e">
        <f>VLOOKUP(LANC_FAT[[#This Row],[OP/OS]],LAN_OP[[OP/OS]:[COORDENADOR DO PROJETO]],10,0)</f>
        <v>#N/A</v>
      </c>
      <c r="L6" s="16" t="str">
        <f>IF(AND(H6&gt;=CALENDARIO!$B$2,H6&lt;=CALENDARIO!$C$2),"JANEIRO",IF(AND(H6&gt;=CALENDARIO!$B$3,H6&lt;=CALENDARIO!$C$3),"FEVEREIRO",IF(AND(H6&gt;=CALENDARIO!$B$4,H6&lt;=CALENDARIO!$C$4),"MARÇO",IF(AND(H6&gt;=CALENDARIO!$B$5,H6&lt;=CALENDARIO!$C$5),"ABRIL",IF(AND(H6&gt;=CALENDARIO!$B$6,H6&lt;=CALENDARIO!$C$6),"MAIO",IF(AND(H6&gt;=CALENDARIO!$B$7,H6&lt;=CALENDARIO!$C$7),"JUNHO",IF(AND(H6&gt;=CALENDARIO!$B$8,H6&lt;=CALENDARIO!$C$8),"JULHO",IF(AND(H6&gt;=CALENDARIO!$B$9,H6&lt;=CALENDARIO!$C$9),"AGOSTO",IF(AND(H6&gt;=CALENDARIO!$B$10,H6&lt;=CALENDARIO!$C$10),"SETEMBRO",IF(AND(H6&gt;=CALENDARIO!$B$11,H6&lt;=CALENDARIO!$C$11),"OUTUBRO",IF(AND(H6&gt;=CALENDARIO!$B$12,H6&lt;=CALENDARIO!$C$12),"NOVEMBRO",IF(AND(H6&gt;=CALENDARIO!$B$13,H6&lt;=CALENDARIO!$C$13),"DEZEMBRO","--"))))))))))))</f>
        <v>--</v>
      </c>
      <c r="M6">
        <f>YEAR(LANC_FAT[[#This Row],[DATA EMISSÃO]])</f>
        <v>1900</v>
      </c>
    </row>
    <row r="7" spans="1:13" x14ac:dyDescent="0.3">
      <c r="A7" s="16"/>
      <c r="B7" s="80"/>
      <c r="C7" t="e">
        <f>VLOOKUP(LANC_FAT[[#This Row],[OP/OS]],LAN_OP[[OP/OS]:[COORDENADOR DO PROJETO]],4,0)</f>
        <v>#N/A</v>
      </c>
      <c r="D7" t="e">
        <f>VLOOKUP(LANC_FAT[[#This Row],[OP/OS]],LAN_OP[[OP/OS]:[COORDENADOR DO PROJETO]],5,0)</f>
        <v>#N/A</v>
      </c>
      <c r="E7" t="e">
        <f>VLOOKUP(LANC_FAT[[#This Row],[OP/OS]],LAN_OP[[OP/OS]:[COORDENADOR DO PROJETO]],9,0)</f>
        <v>#N/A</v>
      </c>
      <c r="G7" s="16"/>
      <c r="H7" s="1"/>
      <c r="I7" s="3" t="e">
        <f>VLOOKUP(LANC_FAT[[#This Row],[OP/OS]],LAN_OP[[OP/OS]:[COORDENADOR DO PROJETO]],10,0)</f>
        <v>#N/A</v>
      </c>
      <c r="L7" s="16" t="str">
        <f>IF(AND(H7&gt;=CALENDARIO!$B$2,H7&lt;=CALENDARIO!$C$2),"JANEIRO",IF(AND(H7&gt;=CALENDARIO!$B$3,H7&lt;=CALENDARIO!$C$3),"FEVEREIRO",IF(AND(H7&gt;=CALENDARIO!$B$4,H7&lt;=CALENDARIO!$C$4),"MARÇO",IF(AND(H7&gt;=CALENDARIO!$B$5,H7&lt;=CALENDARIO!$C$5),"ABRIL",IF(AND(H7&gt;=CALENDARIO!$B$6,H7&lt;=CALENDARIO!$C$6),"MAIO",IF(AND(H7&gt;=CALENDARIO!$B$7,H7&lt;=CALENDARIO!$C$7),"JUNHO",IF(AND(H7&gt;=CALENDARIO!$B$8,H7&lt;=CALENDARIO!$C$8),"JULHO",IF(AND(H7&gt;=CALENDARIO!$B$9,H7&lt;=CALENDARIO!$C$9),"AGOSTO",IF(AND(H7&gt;=CALENDARIO!$B$10,H7&lt;=CALENDARIO!$C$10),"SETEMBRO",IF(AND(H7&gt;=CALENDARIO!$B$11,H7&lt;=CALENDARIO!$C$11),"OUTUBRO",IF(AND(H7&gt;=CALENDARIO!$B$12,H7&lt;=CALENDARIO!$C$12),"NOVEMBRO",IF(AND(H7&gt;=CALENDARIO!$B$13,H7&lt;=CALENDARIO!$C$13),"DEZEMBRO","--"))))))))))))</f>
        <v>--</v>
      </c>
      <c r="M7">
        <f>YEAR(LANC_FAT[[#This Row],[DATA EMISSÃO]])</f>
        <v>1900</v>
      </c>
    </row>
    <row r="8" spans="1:13" x14ac:dyDescent="0.3">
      <c r="A8" s="16"/>
      <c r="B8" s="80"/>
      <c r="C8" t="e">
        <f>VLOOKUP(LANC_FAT[[#This Row],[OP/OS]],LAN_OP[[OP/OS]:[COORDENADOR DO PROJETO]],4,0)</f>
        <v>#N/A</v>
      </c>
      <c r="D8" t="e">
        <f>VLOOKUP(LANC_FAT[[#This Row],[OP/OS]],LAN_OP[[OP/OS]:[COORDENADOR DO PROJETO]],5,0)</f>
        <v>#N/A</v>
      </c>
      <c r="E8" t="e">
        <f>VLOOKUP(LANC_FAT[[#This Row],[OP/OS]],LAN_OP[[OP/OS]:[COORDENADOR DO PROJETO]],9,0)</f>
        <v>#N/A</v>
      </c>
      <c r="G8" s="16"/>
      <c r="H8" s="1"/>
      <c r="I8" s="3" t="e">
        <f>VLOOKUP(LANC_FAT[[#This Row],[OP/OS]],LAN_OP[[OP/OS]:[COORDENADOR DO PROJETO]],10,0)</f>
        <v>#N/A</v>
      </c>
      <c r="L8" s="16" t="str">
        <f>IF(AND(H8&gt;=CALENDARIO!$B$2,H8&lt;=CALENDARIO!$C$2),"JANEIRO",IF(AND(H8&gt;=CALENDARIO!$B$3,H8&lt;=CALENDARIO!$C$3),"FEVEREIRO",IF(AND(H8&gt;=CALENDARIO!$B$4,H8&lt;=CALENDARIO!$C$4),"MARÇO",IF(AND(H8&gt;=CALENDARIO!$B$5,H8&lt;=CALENDARIO!$C$5),"ABRIL",IF(AND(H8&gt;=CALENDARIO!$B$6,H8&lt;=CALENDARIO!$C$6),"MAIO",IF(AND(H8&gt;=CALENDARIO!$B$7,H8&lt;=CALENDARIO!$C$7),"JUNHO",IF(AND(H8&gt;=CALENDARIO!$B$8,H8&lt;=CALENDARIO!$C$8),"JULHO",IF(AND(H8&gt;=CALENDARIO!$B$9,H8&lt;=CALENDARIO!$C$9),"AGOSTO",IF(AND(H8&gt;=CALENDARIO!$B$10,H8&lt;=CALENDARIO!$C$10),"SETEMBRO",IF(AND(H8&gt;=CALENDARIO!$B$11,H8&lt;=CALENDARIO!$C$11),"OUTUBRO",IF(AND(H8&gt;=CALENDARIO!$B$12,H8&lt;=CALENDARIO!$C$12),"NOVEMBRO",IF(AND(H8&gt;=CALENDARIO!$B$13,H8&lt;=CALENDARIO!$C$13),"DEZEMBRO","--"))))))))))))</f>
        <v>--</v>
      </c>
      <c r="M8">
        <f>YEAR(LANC_FAT[[#This Row],[DATA EMISSÃO]])</f>
        <v>1900</v>
      </c>
    </row>
    <row r="9" spans="1:13" x14ac:dyDescent="0.3">
      <c r="A9" s="16"/>
      <c r="B9" s="161"/>
      <c r="C9" t="e">
        <f>VLOOKUP(LANC_FAT[[#This Row],[OP/OS]],LAN_OP[[OP/OS]:[COORDENADOR DO PROJETO]],4,0)</f>
        <v>#N/A</v>
      </c>
      <c r="D9" t="e">
        <f>VLOOKUP(LANC_FAT[[#This Row],[OP/OS]],LAN_OP[[OP/OS]:[COORDENADOR DO PROJETO]],5,0)</f>
        <v>#N/A</v>
      </c>
      <c r="E9" t="e">
        <f>VLOOKUP(LANC_FAT[[#This Row],[OP/OS]],LAN_OP[[OP/OS]:[COORDENADOR DO PROJETO]],9,0)</f>
        <v>#N/A</v>
      </c>
      <c r="G9" s="16"/>
      <c r="H9" s="1"/>
      <c r="I9" s="3" t="e">
        <f>VLOOKUP(LANC_FAT[[#This Row],[OP/OS]],LAN_OP[[OP/OS]:[COORDENADOR DO PROJETO]],10,0)</f>
        <v>#N/A</v>
      </c>
      <c r="L9" s="16" t="str">
        <f>IF(AND(H9&gt;=CALENDARIO!$B$2,H9&lt;=CALENDARIO!$C$2),"JANEIRO",IF(AND(H9&gt;=CALENDARIO!$B$3,H9&lt;=CALENDARIO!$C$3),"FEVEREIRO",IF(AND(H9&gt;=CALENDARIO!$B$4,H9&lt;=CALENDARIO!$C$4),"MARÇO",IF(AND(H9&gt;=CALENDARIO!$B$5,H9&lt;=CALENDARIO!$C$5),"ABRIL",IF(AND(H9&gt;=CALENDARIO!$B$6,H9&lt;=CALENDARIO!$C$6),"MAIO",IF(AND(H9&gt;=CALENDARIO!$B$7,H9&lt;=CALENDARIO!$C$7),"JUNHO",IF(AND(H9&gt;=CALENDARIO!$B$8,H9&lt;=CALENDARIO!$C$8),"JULHO",IF(AND(H9&gt;=CALENDARIO!$B$9,H9&lt;=CALENDARIO!$C$9),"AGOSTO",IF(AND(H9&gt;=CALENDARIO!$B$10,H9&lt;=CALENDARIO!$C$10),"SETEMBRO",IF(AND(H9&gt;=CALENDARIO!$B$11,H9&lt;=CALENDARIO!$C$11),"OUTUBRO",IF(AND(H9&gt;=CALENDARIO!$B$12,H9&lt;=CALENDARIO!$C$12),"NOVEMBRO",IF(AND(H9&gt;=CALENDARIO!$B$13,H9&lt;=CALENDARIO!$C$13),"DEZEMBRO","--"))))))))))))</f>
        <v>--</v>
      </c>
      <c r="M9">
        <f>YEAR(LANC_FAT[[#This Row],[DATA EMISSÃO]])</f>
        <v>1900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0" r:id="rId3" name="Button 40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4" name="Button 41">
              <controlPr defaultSize="0" print="0" autoFill="0" autoPict="0" macro="[0]!IR_DIN_LAN_FATU">
                <anchor>
                  <from>
                    <xdr:col>2</xdr:col>
                    <xdr:colOff>1013460</xdr:colOff>
                    <xdr:row>0</xdr:row>
                    <xdr:rowOff>7620</xdr:rowOff>
                  </from>
                  <to>
                    <xdr:col>3</xdr:col>
                    <xdr:colOff>640080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5" name="Button 42">
              <controlPr defaultSize="0" print="0" autoFill="0" autoPict="0" macro="[0]!IR_DIN_LAN_OP">
                <anchor>
                  <from>
                    <xdr:col>3</xdr:col>
                    <xdr:colOff>701040</xdr:colOff>
                    <xdr:row>0</xdr:row>
                    <xdr:rowOff>7620</xdr:rowOff>
                  </from>
                  <to>
                    <xdr:col>4</xdr:col>
                    <xdr:colOff>929640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6" name="Button 43">
              <controlPr defaultSize="0" print="0" autoFill="0" autoPict="0" macro="[0]!IR_DIN_LAN_COMPRA">
                <anchor>
                  <from>
                    <xdr:col>5</xdr:col>
                    <xdr:colOff>60960</xdr:colOff>
                    <xdr:row>0</xdr:row>
                    <xdr:rowOff>7620</xdr:rowOff>
                  </from>
                  <to>
                    <xdr:col>5</xdr:col>
                    <xdr:colOff>1013460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7" name="Button 44">
              <controlPr defaultSize="0" print="0" autoFill="0" autoPict="0" macro="[0]!IR_DIN_LAN_DESP">
                <anchor>
                  <from>
                    <xdr:col>5</xdr:col>
                    <xdr:colOff>1074420</xdr:colOff>
                    <xdr:row>0</xdr:row>
                    <xdr:rowOff>7620</xdr:rowOff>
                  </from>
                  <to>
                    <xdr:col>7</xdr:col>
                    <xdr:colOff>541020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8" name="Button 45">
              <controlPr defaultSize="0" print="0" autoFill="0" autoPict="0" macro="[0]!IR_DIN_LAN_DESL">
                <anchor>
                  <from>
                    <xdr:col>7</xdr:col>
                    <xdr:colOff>601980</xdr:colOff>
                    <xdr:row>0</xdr:row>
                    <xdr:rowOff>7620</xdr:rowOff>
                  </from>
                  <to>
                    <xdr:col>8</xdr:col>
                    <xdr:colOff>403860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9" name="Button 46">
              <controlPr defaultSize="0" print="0" autoFill="0" autoPict="0" macro="[0]!IR_DIN_LAN_HORAS">
                <anchor>
                  <from>
                    <xdr:col>8</xdr:col>
                    <xdr:colOff>464820</xdr:colOff>
                    <xdr:row>0</xdr:row>
                    <xdr:rowOff>7620</xdr:rowOff>
                  </from>
                  <to>
                    <xdr:col>9</xdr:col>
                    <xdr:colOff>281940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10" name="Button 47">
              <controlPr defaultSize="0" print="0" autoFill="0" autoPict="0" macro="[0]!IR_DIN_LAN_OP_EXTRA">
                <anchor>
                  <from>
                    <xdr:col>9</xdr:col>
                    <xdr:colOff>342900</xdr:colOff>
                    <xdr:row>0</xdr:row>
                    <xdr:rowOff>7620</xdr:rowOff>
                  </from>
                  <to>
                    <xdr:col>9</xdr:col>
                    <xdr:colOff>1295400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11" name="Button 48">
              <controlPr defaultSize="0" print="0" autoFill="0" autoPict="0" macro="[0]!IR_DIN_LAN_FATU_EXTRA">
                <anchor>
                  <from>
                    <xdr:col>9</xdr:col>
                    <xdr:colOff>1356360</xdr:colOff>
                    <xdr:row>0</xdr:row>
                    <xdr:rowOff>7620</xdr:rowOff>
                  </from>
                  <to>
                    <xdr:col>10</xdr:col>
                    <xdr:colOff>403860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9" r:id="rId12" name="Button 49">
              <controlPr defaultSize="0" autoFill="0" autoPict="0" macro="[0]!IR_DIN_LAN_ORC">
                <anchor>
                  <from>
                    <xdr:col>10</xdr:col>
                    <xdr:colOff>449580</xdr:colOff>
                    <xdr:row>0</xdr:row>
                    <xdr:rowOff>7620</xdr:rowOff>
                  </from>
                  <to>
                    <xdr:col>11</xdr:col>
                    <xdr:colOff>487680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0" r:id="rId13" name="Button 50">
              <controlPr defaultSize="0" autoFill="0" autoPict="0" macro="[0]!IR_RESUMO_FAT">
                <anchor>
                  <from>
                    <xdr:col>11</xdr:col>
                    <xdr:colOff>518160</xdr:colOff>
                    <xdr:row>0</xdr:row>
                    <xdr:rowOff>0</xdr:rowOff>
                  </from>
                  <to>
                    <xdr:col>12</xdr:col>
                    <xdr:colOff>144780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" r:id="rId14" name="Button 51">
              <controlPr defaultSize="0" autoFill="0" autoPict="0" macro="[0]!IR_DIN_AP">
                <anchor>
                  <from>
                    <xdr:col>12</xdr:col>
                    <xdr:colOff>190500</xdr:colOff>
                    <xdr:row>0</xdr:row>
                    <xdr:rowOff>0</xdr:rowOff>
                  </from>
                  <to>
                    <xdr:col>12</xdr:col>
                    <xdr:colOff>1280160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VALORES_HXH!$G$14:$G$15</xm:f>
          </x14:formula1>
          <xm:sqref>K5:K9</xm:sqref>
        </x14:dataValidation>
        <x14:dataValidation type="list" allowBlank="1" showInputMessage="1" showErrorMessage="1" xr:uid="{00000000-0002-0000-0400-000001000000}">
          <x14:formula1>
            <xm:f>VALORES_HXH!$L$2:$L$5</xm:f>
          </x14:formula1>
          <xm:sqref>F5:F9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8" tint="0.59999389629810485"/>
  </sheetPr>
  <dimension ref="A1:AA6"/>
  <sheetViews>
    <sheetView showGridLines="0" zoomScale="85" zoomScaleNormal="85" workbookViewId="0">
      <pane xSplit="4" ySplit="4" topLeftCell="E5" activePane="bottomRight" state="frozen"/>
      <selection activeCell="H30" sqref="H30"/>
      <selection pane="topRight" activeCell="H30" sqref="H30"/>
      <selection pane="bottomLeft" activeCell="H30" sqref="H30"/>
      <selection pane="bottomRight" activeCell="M10" sqref="M10"/>
    </sheetView>
  </sheetViews>
  <sheetFormatPr defaultColWidth="0" defaultRowHeight="14.4" outlineLevelCol="1" x14ac:dyDescent="0.3"/>
  <cols>
    <col min="1" max="1" width="9" customWidth="1"/>
    <col min="2" max="2" width="12.33203125" style="1" bestFit="1" customWidth="1"/>
    <col min="3" max="3" width="12.88671875" customWidth="1"/>
    <col min="4" max="4" width="9.109375" customWidth="1"/>
    <col min="5" max="5" width="25.33203125" customWidth="1"/>
    <col min="6" max="6" width="14.6640625" customWidth="1"/>
    <col min="7" max="7" width="16.109375" customWidth="1"/>
    <col min="8" max="8" width="13.33203125" customWidth="1"/>
    <col min="9" max="9" width="14.6640625" customWidth="1"/>
    <col min="10" max="11" width="12.44140625" customWidth="1"/>
    <col min="12" max="12" width="16" customWidth="1"/>
    <col min="13" max="13" width="19.5546875" customWidth="1"/>
    <col min="14" max="14" width="23.109375" customWidth="1"/>
    <col min="15" max="15" width="21.6640625" style="3" hidden="1" customWidth="1" outlineLevel="1"/>
    <col min="16" max="17" width="19.33203125" style="3" hidden="1" customWidth="1" outlineLevel="1"/>
    <col min="18" max="18" width="20.33203125" style="3" hidden="1" customWidth="1" outlineLevel="1"/>
    <col min="19" max="19" width="23.5546875" style="3" hidden="1" customWidth="1" outlineLevel="1"/>
    <col min="20" max="21" width="18.6640625" style="3" hidden="1" customWidth="1" outlineLevel="1"/>
    <col min="22" max="22" width="19.6640625" style="3" hidden="1" customWidth="1" outlineLevel="1"/>
    <col min="23" max="23" width="23.33203125" style="3" hidden="1" customWidth="1" outlineLevel="1"/>
    <col min="24" max="24" width="21.88671875" style="3" hidden="1" customWidth="1" outlineLevel="1"/>
    <col min="25" max="25" width="15.33203125" style="3" hidden="1" customWidth="1" outlineLevel="1"/>
    <col min="26" max="26" width="21.109375" hidden="1" customWidth="1" outlineLevel="1"/>
    <col min="27" max="27" width="9.109375" customWidth="1" collapsed="1"/>
    <col min="28" max="16384" width="9.109375" hidden="1"/>
  </cols>
  <sheetData>
    <row r="1" spans="1:26" ht="41.25" customHeight="1" x14ac:dyDescent="0.3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/>
    </row>
    <row r="2" spans="1:26" ht="23.25" customHeight="1" x14ac:dyDescent="0.3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8"/>
    </row>
    <row r="3" spans="1:26" ht="13.5" customHeight="1" x14ac:dyDescent="0.3"/>
    <row r="4" spans="1:26" x14ac:dyDescent="0.3">
      <c r="A4" t="s">
        <v>0</v>
      </c>
      <c r="B4" s="1" t="s">
        <v>54</v>
      </c>
      <c r="C4" t="s">
        <v>31</v>
      </c>
      <c r="D4" t="s">
        <v>57</v>
      </c>
      <c r="E4" t="s">
        <v>55</v>
      </c>
      <c r="F4" t="s">
        <v>59</v>
      </c>
      <c r="G4" t="s">
        <v>60</v>
      </c>
      <c r="H4" t="s">
        <v>61</v>
      </c>
      <c r="I4" t="s">
        <v>62</v>
      </c>
      <c r="J4" t="s">
        <v>63</v>
      </c>
      <c r="K4" t="s">
        <v>64</v>
      </c>
      <c r="L4" t="s">
        <v>9</v>
      </c>
      <c r="M4" t="s">
        <v>65</v>
      </c>
      <c r="N4" t="s">
        <v>66</v>
      </c>
      <c r="O4" s="2" t="s">
        <v>67</v>
      </c>
      <c r="P4" s="2" t="s">
        <v>68</v>
      </c>
      <c r="Q4" s="2" t="s">
        <v>69</v>
      </c>
      <c r="R4" s="2" t="s">
        <v>70</v>
      </c>
      <c r="S4" s="2" t="s">
        <v>71</v>
      </c>
      <c r="T4" s="2" t="s">
        <v>72</v>
      </c>
      <c r="U4" s="2" t="s">
        <v>73</v>
      </c>
      <c r="V4" s="2" t="s">
        <v>74</v>
      </c>
      <c r="W4" s="2" t="s">
        <v>75</v>
      </c>
      <c r="X4" s="2" t="s">
        <v>76</v>
      </c>
      <c r="Y4" s="2" t="s">
        <v>77</v>
      </c>
      <c r="Z4" s="2" t="s">
        <v>78</v>
      </c>
    </row>
    <row r="5" spans="1:26" x14ac:dyDescent="0.3">
      <c r="F5" s="44"/>
      <c r="G5" s="44"/>
      <c r="H5" s="44"/>
      <c r="I5" s="44"/>
      <c r="J5" s="45" t="str">
        <f>IFERROR((IF(LANC_HORAS[[#This Row],[TIPO]]="NORMAL",(LANC_HORAS[[#This Row],[SAIDA MANHA]]-LANC_HORAS[[#This Row],[ENT. MANHA]])+LANC_HORAS[[#This Row],[SAIDA TARDE]]-LANC_HORAS[[#This Row],[ENT. TARDE]],"")),"")</f>
        <v/>
      </c>
      <c r="K5" s="45" t="str">
        <f>(IF(LANC_HORAS[[#This Row],[TIPO]]="HE_60%",(LANC_HORAS[[#This Row],[SAIDA MANHA]]-LANC_HORAS[[#This Row],[ENT. MANHA]])+LANC_HORAS[[#This Row],[SAIDA TARDE]]-LANC_HORAS[[#This Row],[ENT. TARDE]],(IF(LANC_HORAS[[#This Row],[TIPO]]="HE_75%",(LANC_HORAS[[#This Row],[SAIDA MANHA]]-LANC_HORAS[[#This Row],[ENT. MANHA]])+LANC_HORAS[[#This Row],[SAIDA TARDE]]-LANC_HORAS[[#This Row],[ENT. TARDE]],(IF(LANC_HORAS[[#This Row],[TIPO]]="HE_100%",(LANC_HORAS[[#This Row],[SAIDA MANHA]]-LANC_HORAS[[#This Row],[ENT. MANHA]])+LANC_HORAS[[#This Row],[SAIDA TARDE]]-LANC_HORAS[[#This Row],[ENT. TARDE]],""))))))</f>
        <v/>
      </c>
      <c r="M5" s="45">
        <f>LANC_HORAS[[#This Row],[SAIDA MANHA]]-LANC_HORAS[[#This Row],[ENT. MANHA]]</f>
        <v>0</v>
      </c>
      <c r="N5" s="45">
        <f>LANC_HORAS[[#This Row],[SAIDA TARDE]]-LANC_HORAS[[#This Row],[ENT. TARDE]]</f>
        <v>0</v>
      </c>
      <c r="O5" s="7" t="e">
        <f>VLOOKUP(LANC_HORAS[[#This Row],[FUNCIONARIO]],VALORES_HXH!$A$1:$E$31,2,0)</f>
        <v>#N/A</v>
      </c>
      <c r="P5" s="7" t="e">
        <f>VLOOKUP(LANC_HORAS[[#This Row],[FUNCIONARIO]],VALORES_HXH!$A$1:$E$31,3,0)</f>
        <v>#N/A</v>
      </c>
      <c r="Q5" s="7" t="e">
        <f>VLOOKUP(LANC_HORAS[[#This Row],[FUNCIONARIO]],VALORES_HXH!$A$1:$E$31,4,0)</f>
        <v>#N/A</v>
      </c>
      <c r="R5" s="7" t="e">
        <f>VLOOKUP(LANC_HORAS[[#This Row],[FUNCIONARIO]],VALORES_HXH!$A$1:$E$31,5,0)</f>
        <v>#N/A</v>
      </c>
      <c r="S5" s="7" t="str">
        <f>IFERROR(IF(LANC_HORAS[[#This Row],[TIPO]]=VALORES_HXH!$G$1,LANC_HORAS[[#This Row],[VALOR HXH NORMAL]]*LANC_HORAS[[#This Row],[TOTAL H.N]],"")*24,"0")</f>
        <v>0</v>
      </c>
      <c r="T5" s="7" t="str">
        <f>IFERROR(IF(LANC_HORAS[[#This Row],[TIPO]]=VALORES_HXH!$G$2,LANC_HORAS[[#This Row],[TOTAL H.E]]*LANC_HORAS[[#This Row],[VALOR HXH E_60%]],"")*24,"0")</f>
        <v>0</v>
      </c>
      <c r="U5" s="7" t="str">
        <f>IFERROR(IF(LANC_HORAS[[#This Row],[TIPO]]=VALORES_HXH!$G$3,LANC_HORAS[[#This Row],[TOTAL H.E]]*LANC_HORAS[[#This Row],[VALOR HXH E_75%]],"")*24,"0")</f>
        <v>0</v>
      </c>
      <c r="V5" s="7" t="str">
        <f>IFERROR(IF(LANC_HORAS[[#This Row],[TIPO]]=VALORES_HXH!$G$4,LANC_HORAS[[#This Row],[TOTAL H.E]]*LANC_HORAS[[#This Row],[VALOR HXH E_100%]],"")*24,"0")</f>
        <v>0</v>
      </c>
      <c r="W5" s="7" t="str">
        <f>IFERROR(LANC_HORAS[[#This Row],[VALOR TOTAL NORMAL]],"0")</f>
        <v>0</v>
      </c>
      <c r="X5" s="7">
        <f>LANC_HORAS[[#This Row],[VALOR TOTAL60%]]+LANC_HORAS[[#This Row],[VALOR TOTAL75%]]+LANC_HORAS[[#This Row],[VALOR TOTAL100%]]</f>
        <v>0</v>
      </c>
      <c r="Y5" s="7">
        <f>LANC_HORAS[[#This Row],[TOTAL GERAL NORMAL]]+LANC_HORAS[[#This Row],[TOTAL GERAL EXTRAS]]</f>
        <v>0</v>
      </c>
      <c r="Z5" s="5" t="str">
        <f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f>
        <v>FORA DO CALENDARIO</v>
      </c>
    </row>
    <row r="6" spans="1:26" x14ac:dyDescent="0.3">
      <c r="F6" s="44"/>
      <c r="G6" s="44"/>
      <c r="H6" s="44"/>
      <c r="I6" s="44"/>
      <c r="J6" s="45" t="str">
        <f>IFERROR((IF(LANC_HORAS[[#This Row],[TIPO]]="NORMAL",(LANC_HORAS[[#This Row],[SAIDA MANHA]]-LANC_HORAS[[#This Row],[ENT. MANHA]])+LANC_HORAS[[#This Row],[SAIDA TARDE]]-LANC_HORAS[[#This Row],[ENT. TARDE]],"")),"")</f>
        <v/>
      </c>
      <c r="K6" s="45" t="str">
        <f>(IF(LANC_HORAS[[#This Row],[TIPO]]="HE_60%",(LANC_HORAS[[#This Row],[SAIDA MANHA]]-LANC_HORAS[[#This Row],[ENT. MANHA]])+LANC_HORAS[[#This Row],[SAIDA TARDE]]-LANC_HORAS[[#This Row],[ENT. TARDE]],(IF(LANC_HORAS[[#This Row],[TIPO]]="HE_75%",(LANC_HORAS[[#This Row],[SAIDA MANHA]]-LANC_HORAS[[#This Row],[ENT. MANHA]])+LANC_HORAS[[#This Row],[SAIDA TARDE]]-LANC_HORAS[[#This Row],[ENT. TARDE]],(IF(LANC_HORAS[[#This Row],[TIPO]]="HE_100%",(LANC_HORAS[[#This Row],[SAIDA MANHA]]-LANC_HORAS[[#This Row],[ENT. MANHA]])+LANC_HORAS[[#This Row],[SAIDA TARDE]]-LANC_HORAS[[#This Row],[ENT. TARDE]],""))))))</f>
        <v/>
      </c>
      <c r="M6" s="45">
        <f>LANC_HORAS[[#This Row],[SAIDA MANHA]]-LANC_HORAS[[#This Row],[ENT. MANHA]]</f>
        <v>0</v>
      </c>
      <c r="N6" s="45">
        <f>LANC_HORAS[[#This Row],[SAIDA TARDE]]-LANC_HORAS[[#This Row],[ENT. TARDE]]</f>
        <v>0</v>
      </c>
      <c r="O6" s="7" t="e">
        <f>VLOOKUP(LANC_HORAS[[#This Row],[FUNCIONARIO]],VALORES_HXH!$A$1:$E$31,2,0)</f>
        <v>#N/A</v>
      </c>
      <c r="P6" s="7" t="e">
        <f>VLOOKUP(LANC_HORAS[[#This Row],[FUNCIONARIO]],VALORES_HXH!$A$1:$E$31,3,0)</f>
        <v>#N/A</v>
      </c>
      <c r="Q6" s="7" t="e">
        <f>VLOOKUP(LANC_HORAS[[#This Row],[FUNCIONARIO]],VALORES_HXH!$A$1:$E$31,4,0)</f>
        <v>#N/A</v>
      </c>
      <c r="R6" s="7" t="e">
        <f>VLOOKUP(LANC_HORAS[[#This Row],[FUNCIONARIO]],VALORES_HXH!$A$1:$E$31,5,0)</f>
        <v>#N/A</v>
      </c>
      <c r="S6" s="7" t="str">
        <f>IFERROR(IF(LANC_HORAS[[#This Row],[TIPO]]=VALORES_HXH!$G$1,LANC_HORAS[[#This Row],[VALOR HXH NORMAL]]*LANC_HORAS[[#This Row],[TOTAL H.N]],"")*24,"0")</f>
        <v>0</v>
      </c>
      <c r="T6" s="7" t="str">
        <f>IFERROR(IF(LANC_HORAS[[#This Row],[TIPO]]=VALORES_HXH!$G$2,LANC_HORAS[[#This Row],[TOTAL H.E]]*LANC_HORAS[[#This Row],[VALOR HXH E_60%]],"")*24,"0")</f>
        <v>0</v>
      </c>
      <c r="U6" s="7" t="str">
        <f>IFERROR(IF(LANC_HORAS[[#This Row],[TIPO]]=VALORES_HXH!$G$3,LANC_HORAS[[#This Row],[TOTAL H.E]]*LANC_HORAS[[#This Row],[VALOR HXH E_75%]],"")*24,"0")</f>
        <v>0</v>
      </c>
      <c r="V6" s="7" t="str">
        <f>IFERROR(IF(LANC_HORAS[[#This Row],[TIPO]]=VALORES_HXH!$G$4,LANC_HORAS[[#This Row],[TOTAL H.E]]*LANC_HORAS[[#This Row],[VALOR HXH E_100%]],"")*24,"0")</f>
        <v>0</v>
      </c>
      <c r="W6" s="7" t="str">
        <f>IFERROR(LANC_HORAS[[#This Row],[VALOR TOTAL NORMAL]],"0")</f>
        <v>0</v>
      </c>
      <c r="X6" s="7">
        <f>LANC_HORAS[[#This Row],[VALOR TOTAL60%]]+LANC_HORAS[[#This Row],[VALOR TOTAL75%]]+LANC_HORAS[[#This Row],[VALOR TOTAL100%]]</f>
        <v>0</v>
      </c>
      <c r="Y6" s="7">
        <f>LANC_HORAS[[#This Row],[TOTAL GERAL NORMAL]]+LANC_HORAS[[#This Row],[TOTAL GERAL EXTRAS]]</f>
        <v>0</v>
      </c>
      <c r="Z6" s="6" t="str">
        <f>IF(AND(B6&gt;=CALENDARIO!$B$2,B6&lt;=CALENDARIO!$C$2),"JANEIRO",IF(AND(B6&gt;=CALENDARIO!$B$3,B6&lt;=CALENDARIO!$C$3),"FEVEREIRO",IF(AND(B6&gt;=CALENDARIO!$B$4,B6&lt;=CALENDARIO!$C$4),"MARÇO",IF(AND(B6&gt;=CALENDARIO!$B$5,B6&lt;=CALENDARIO!$C$5),"ABRIL",IF(AND(B6&gt;=CALENDARIO!$B$6,B6&lt;=CALENDARIO!$C$6),"MAIO",IF(AND(B6&gt;=CALENDARIO!$B$7,B6&lt;=CALENDARIO!$C$7),"JUNHO",IF(AND(B6&gt;=CALENDARIO!$B$8,B6&lt;=CALENDARIO!$C$8),"JULHO",IF(AND(B6&gt;=CALENDARIO!$B$9,B6&lt;=CALENDARIO!$C$9),"AGOSTO",IF(AND(B6&gt;=CALENDARIO!$B$10,B6&lt;=CALENDARIO!$C$10),"SETEMBRO",IF(AND(B6&gt;=CALENDARIO!$B$11,B6&lt;=CALENDARIO!$C$11),"OUTUBRO",IF(AND(B6&gt;=CALENDARIO!$B$12,B6&lt;=CALENDARIO!$C$12),"NOVEMBRO",IF(AND(B6&gt;=CALENDARIO!$B$13,B6&lt;=CALENDARIO!$C$13),"DEZEMBRO","FORA DO CALENDARIO"))))))))))))</f>
        <v>FORA DO CALENDARIO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0" r:id="rId3" name="Button 32">
              <controlPr defaultSize="0" print="0" autoFill="0" autoPict="0" macro="[0]!IR_HOME">
                <anchor>
                  <from>
                    <xdr:col>1</xdr:col>
                    <xdr:colOff>388620</xdr:colOff>
                    <xdr:row>0</xdr:row>
                    <xdr:rowOff>38100</xdr:rowOff>
                  </from>
                  <to>
                    <xdr:col>2</xdr:col>
                    <xdr:colOff>563880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4" name="Button 33">
              <controlPr defaultSize="0" print="0" autoFill="0" autoPict="0" macro="[0]!IR_DIN_LAN_FATU">
                <anchor>
                  <from>
                    <xdr:col>2</xdr:col>
                    <xdr:colOff>632460</xdr:colOff>
                    <xdr:row>0</xdr:row>
                    <xdr:rowOff>38100</xdr:rowOff>
                  </from>
                  <to>
                    <xdr:col>4</xdr:col>
                    <xdr:colOff>68580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5" name="Button 34">
              <controlPr defaultSize="0" print="0" autoFill="0" autoPict="0" macro="[0]!IR_DIN_LAN_OP">
                <anchor>
                  <from>
                    <xdr:col>4</xdr:col>
                    <xdr:colOff>137160</xdr:colOff>
                    <xdr:row>0</xdr:row>
                    <xdr:rowOff>38100</xdr:rowOff>
                  </from>
                  <to>
                    <xdr:col>4</xdr:col>
                    <xdr:colOff>1150620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6" name="Button 35">
              <controlPr defaultSize="0" print="0" autoFill="0" autoPict="0" macro="[0]!IR_DIN_LAN_COMPRA">
                <anchor>
                  <from>
                    <xdr:col>4</xdr:col>
                    <xdr:colOff>1219200</xdr:colOff>
                    <xdr:row>0</xdr:row>
                    <xdr:rowOff>38100</xdr:rowOff>
                  </from>
                  <to>
                    <xdr:col>5</xdr:col>
                    <xdr:colOff>495300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7" name="Button 36">
              <controlPr defaultSize="0" print="0" autoFill="0" autoPict="0" macro="[0]!IR_DIN_LAN_DESP">
                <anchor>
                  <from>
                    <xdr:col>5</xdr:col>
                    <xdr:colOff>563880</xdr:colOff>
                    <xdr:row>0</xdr:row>
                    <xdr:rowOff>38100</xdr:rowOff>
                  </from>
                  <to>
                    <xdr:col>6</xdr:col>
                    <xdr:colOff>571500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8" name="Button 37">
              <controlPr defaultSize="0" print="0" autoFill="0" autoPict="0" macro="[0]!IR_DIN_LAN_DESL">
                <anchor>
                  <from>
                    <xdr:col>6</xdr:col>
                    <xdr:colOff>640080</xdr:colOff>
                    <xdr:row>0</xdr:row>
                    <xdr:rowOff>38100</xdr:rowOff>
                  </from>
                  <to>
                    <xdr:col>7</xdr:col>
                    <xdr:colOff>556260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9" name="Button 38">
              <controlPr defaultSize="0" print="0" autoFill="0" autoPict="0" macro="[0]!IR_DIN_LAN_HORAS">
                <anchor>
                  <from>
                    <xdr:col>7</xdr:col>
                    <xdr:colOff>624840</xdr:colOff>
                    <xdr:row>0</xdr:row>
                    <xdr:rowOff>38100</xdr:rowOff>
                  </from>
                  <to>
                    <xdr:col>8</xdr:col>
                    <xdr:colOff>723900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10" name="Button 39">
              <controlPr defaultSize="0" print="0" autoFill="0" autoPict="0" macro="[0]!IR_DIN_LAN_OP_EXTRA">
                <anchor>
                  <from>
                    <xdr:col>8</xdr:col>
                    <xdr:colOff>792480</xdr:colOff>
                    <xdr:row>0</xdr:row>
                    <xdr:rowOff>38100</xdr:rowOff>
                  </from>
                  <to>
                    <xdr:col>9</xdr:col>
                    <xdr:colOff>800100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11" name="Button 40">
              <controlPr defaultSize="0" print="0" autoFill="0" autoPict="0" macro="[0]!IR_DIN_LAN_FATU_EXTRA">
                <anchor>
                  <from>
                    <xdr:col>10</xdr:col>
                    <xdr:colOff>15240</xdr:colOff>
                    <xdr:row>0</xdr:row>
                    <xdr:rowOff>38100</xdr:rowOff>
                  </from>
                  <to>
                    <xdr:col>11</xdr:col>
                    <xdr:colOff>304800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12" name="Button 41">
              <controlPr defaultSize="0" autoFill="0" autoPict="0" macro="[0]!IR_DIN_LAN_ORC">
                <anchor>
                  <from>
                    <xdr:col>11</xdr:col>
                    <xdr:colOff>358140</xdr:colOff>
                    <xdr:row>0</xdr:row>
                    <xdr:rowOff>38100</xdr:rowOff>
                  </from>
                  <to>
                    <xdr:col>12</xdr:col>
                    <xdr:colOff>411480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13" name="Button 42">
              <controlPr defaultSize="0" autoFill="0" autoPict="0" macro="[0]!IR_RESUMO_FAT">
                <anchor>
                  <from>
                    <xdr:col>12</xdr:col>
                    <xdr:colOff>449580</xdr:colOff>
                    <xdr:row>0</xdr:row>
                    <xdr:rowOff>30480</xdr:rowOff>
                  </from>
                  <to>
                    <xdr:col>13</xdr:col>
                    <xdr:colOff>259080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14" name="Button 43">
              <controlPr defaultSize="0" autoFill="0" autoPict="0" macro="[0]!IR_DIN_AP">
                <anchor>
                  <from>
                    <xdr:col>13</xdr:col>
                    <xdr:colOff>312420</xdr:colOff>
                    <xdr:row>0</xdr:row>
                    <xdr:rowOff>30480</xdr:rowOff>
                  </from>
                  <to>
                    <xdr:col>13</xdr:col>
                    <xdr:colOff>1470660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VALORES_HXH!$A$2:$A$33</xm:f>
          </x14:formula1>
          <xm:sqref>E5:E6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>
    <tabColor theme="8" tint="0.59999389629810485"/>
  </sheetPr>
  <dimension ref="A1:M30"/>
  <sheetViews>
    <sheetView showGridLines="0" zoomScale="85" zoomScaleNormal="85" workbookViewId="0">
      <selection activeCell="J21" sqref="J21"/>
    </sheetView>
  </sheetViews>
  <sheetFormatPr defaultColWidth="0" defaultRowHeight="14.4" x14ac:dyDescent="0.3"/>
  <cols>
    <col min="1" max="1" width="12.88671875" customWidth="1"/>
    <col min="2" max="2" width="10.88671875" bestFit="1" customWidth="1"/>
    <col min="3" max="3" width="21.33203125" customWidth="1"/>
    <col min="4" max="4" width="15.5546875" customWidth="1"/>
    <col min="5" max="5" width="28.6640625" customWidth="1"/>
    <col min="6" max="6" width="17.109375" bestFit="1" customWidth="1"/>
    <col min="7" max="7" width="12.33203125" bestFit="1" customWidth="1"/>
    <col min="8" max="8" width="22.5546875" customWidth="1"/>
    <col min="9" max="9" width="16.5546875" bestFit="1" customWidth="1"/>
    <col min="10" max="10" width="21.88671875" bestFit="1" customWidth="1"/>
    <col min="11" max="11" width="21.109375" bestFit="1" customWidth="1"/>
    <col min="12" max="12" width="7.6640625" customWidth="1"/>
    <col min="13" max="13" width="0" hidden="1" customWidth="1"/>
    <col min="14" max="16384" width="9.109375" hidden="1"/>
  </cols>
  <sheetData>
    <row r="1" spans="1:12" ht="45.7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</row>
    <row r="2" spans="1:12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</row>
    <row r="4" spans="1:12" x14ac:dyDescent="0.3">
      <c r="A4" t="s">
        <v>80</v>
      </c>
      <c r="B4" t="s">
        <v>54</v>
      </c>
      <c r="C4" t="s">
        <v>55</v>
      </c>
      <c r="D4" t="s">
        <v>35</v>
      </c>
      <c r="E4" t="s">
        <v>47</v>
      </c>
      <c r="F4" t="s">
        <v>56</v>
      </c>
      <c r="G4" t="s">
        <v>84</v>
      </c>
      <c r="H4" t="s">
        <v>9</v>
      </c>
      <c r="I4" t="s">
        <v>127</v>
      </c>
      <c r="J4" t="s">
        <v>128</v>
      </c>
      <c r="K4" t="s">
        <v>78</v>
      </c>
      <c r="L4" t="s">
        <v>86</v>
      </c>
    </row>
    <row r="5" spans="1:12" x14ac:dyDescent="0.3">
      <c r="B5" s="1"/>
      <c r="G5" s="4"/>
      <c r="H5" t="s">
        <v>147</v>
      </c>
      <c r="J5" t="s">
        <v>147</v>
      </c>
      <c r="K5" t="str">
        <f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f>
        <v>FORA DO CALENDARIO</v>
      </c>
      <c r="L5">
        <f>YEAR(LANC_DESPESAS[[#This Row],[DATA]])</f>
        <v>1900</v>
      </c>
    </row>
    <row r="6" spans="1:12" x14ac:dyDescent="0.3">
      <c r="B6" s="1"/>
      <c r="G6" s="4"/>
      <c r="H6" t="s">
        <v>147</v>
      </c>
      <c r="J6" t="s">
        <v>147</v>
      </c>
      <c r="K6" t="str">
        <f>IF(AND(B6&gt;=CALENDARIO!$B$2,B6&lt;=CALENDARIO!$C$2),"JANEIRO",IF(AND(B6&gt;=CALENDARIO!$B$3,B6&lt;=CALENDARIO!$C$3),"FEVEREIRO",IF(AND(B6&gt;=CALENDARIO!$B$4,B6&lt;=CALENDARIO!$C$4),"MARÇO",IF(AND(B6&gt;=CALENDARIO!$B$5,B6&lt;=CALENDARIO!$C$5),"ABRIL",IF(AND(B6&gt;=CALENDARIO!$B$6,B6&lt;=CALENDARIO!$C$6),"MAIO",IF(AND(B6&gt;=CALENDARIO!$B$7,B6&lt;=CALENDARIO!$C$7),"JUNHO",IF(AND(B6&gt;=CALENDARIO!$B$8,B6&lt;=CALENDARIO!$C$8),"JULHO",IF(AND(B6&gt;=CALENDARIO!$B$9,B6&lt;=CALENDARIO!$C$9),"AGOSTO",IF(AND(B6&gt;=CALENDARIO!$B$10,B6&lt;=CALENDARIO!$C$10),"SETEMBRO",IF(AND(B6&gt;=CALENDARIO!$B$11,B6&lt;=CALENDARIO!$C$11),"OUTUBRO",IF(AND(B6&gt;=CALENDARIO!$B$12,B6&lt;=CALENDARIO!$C$12),"NOVEMBRO",IF(AND(B6&gt;=CALENDARIO!$B$13,B6&lt;=CALENDARIO!$C$13),"DEZEMBRO","FORA DO CALENDARIO"))))))))))))</f>
        <v>FORA DO CALENDARIO</v>
      </c>
      <c r="L6">
        <f>YEAR(LANC_DESPESAS[[#This Row],[DATA]])</f>
        <v>1900</v>
      </c>
    </row>
    <row r="7" spans="1:12" x14ac:dyDescent="0.3">
      <c r="B7" s="1"/>
      <c r="G7" s="4"/>
      <c r="H7" t="s">
        <v>147</v>
      </c>
      <c r="J7" t="s">
        <v>147</v>
      </c>
      <c r="K7" t="str">
        <f>IF(AND(B7&gt;=CALENDARIO!$B$2,B7&lt;=CALENDARIO!$C$2),"JANEIRO",IF(AND(B7&gt;=CALENDARIO!$B$3,B7&lt;=CALENDARIO!$C$3),"FEVEREIRO",IF(AND(B7&gt;=CALENDARIO!$B$4,B7&lt;=CALENDARIO!$C$4),"MARÇO",IF(AND(B7&gt;=CALENDARIO!$B$5,B7&lt;=CALENDARIO!$C$5),"ABRIL",IF(AND(B7&gt;=CALENDARIO!$B$6,B7&lt;=CALENDARIO!$C$6),"MAIO",IF(AND(B7&gt;=CALENDARIO!$B$7,B7&lt;=CALENDARIO!$C$7),"JUNHO",IF(AND(B7&gt;=CALENDARIO!$B$8,B7&lt;=CALENDARIO!$C$8),"JULHO",IF(AND(B7&gt;=CALENDARIO!$B$9,B7&lt;=CALENDARIO!$C$9),"AGOSTO",IF(AND(B7&gt;=CALENDARIO!$B$10,B7&lt;=CALENDARIO!$C$10),"SETEMBRO",IF(AND(B7&gt;=CALENDARIO!$B$11,B7&lt;=CALENDARIO!$C$11),"OUTUBRO",IF(AND(B7&gt;=CALENDARIO!$B$12,B7&lt;=CALENDARIO!$C$12),"NOVEMBRO",IF(AND(B7&gt;=CALENDARIO!$B$13,B7&lt;=CALENDARIO!$C$13),"DEZEMBRO","FORA DO CALENDARIO"))))))))))))</f>
        <v>FORA DO CALENDARIO</v>
      </c>
      <c r="L7">
        <f>YEAR(LANC_DESPESAS[[#This Row],[DATA]])</f>
        <v>1900</v>
      </c>
    </row>
    <row r="8" spans="1:12" x14ac:dyDescent="0.3">
      <c r="B8" s="1"/>
      <c r="G8" s="4"/>
      <c r="H8" t="s">
        <v>147</v>
      </c>
      <c r="J8" t="s">
        <v>147</v>
      </c>
      <c r="K8" t="str">
        <f>IF(AND(B8&gt;=CALENDARIO!$B$2,B8&lt;=CALENDARIO!$C$2),"JANEIRO",IF(AND(B8&gt;=CALENDARIO!$B$3,B8&lt;=CALENDARIO!$C$3),"FEVEREIRO",IF(AND(B8&gt;=CALENDARIO!$B$4,B8&lt;=CALENDARIO!$C$4),"MARÇO",IF(AND(B8&gt;=CALENDARIO!$B$5,B8&lt;=CALENDARIO!$C$5),"ABRIL",IF(AND(B8&gt;=CALENDARIO!$B$6,B8&lt;=CALENDARIO!$C$6),"MAIO",IF(AND(B8&gt;=CALENDARIO!$B$7,B8&lt;=CALENDARIO!$C$7),"JUNHO",IF(AND(B8&gt;=CALENDARIO!$B$8,B8&lt;=CALENDARIO!$C$8),"JULHO",IF(AND(B8&gt;=CALENDARIO!$B$9,B8&lt;=CALENDARIO!$C$9),"AGOSTO",IF(AND(B8&gt;=CALENDARIO!$B$10,B8&lt;=CALENDARIO!$C$10),"SETEMBRO",IF(AND(B8&gt;=CALENDARIO!$B$11,B8&lt;=CALENDARIO!$C$11),"OUTUBRO",IF(AND(B8&gt;=CALENDARIO!$B$12,B8&lt;=CALENDARIO!$C$12),"NOVEMBRO",IF(AND(B8&gt;=CALENDARIO!$B$13,B8&lt;=CALENDARIO!$C$13),"DEZEMBRO","FORA DO CALENDARIO"))))))))))))</f>
        <v>FORA DO CALENDARIO</v>
      </c>
      <c r="L8">
        <f>YEAR(LANC_DESPESAS[[#This Row],[DATA]])</f>
        <v>1900</v>
      </c>
    </row>
    <row r="9" spans="1:12" x14ac:dyDescent="0.3">
      <c r="B9" s="1"/>
      <c r="G9" s="4"/>
      <c r="H9" t="s">
        <v>147</v>
      </c>
      <c r="J9" t="s">
        <v>147</v>
      </c>
      <c r="K9" t="str">
        <f>IF(AND(B9&gt;=CALENDARIO!$B$2,B9&lt;=CALENDARIO!$C$2),"JANEIRO",IF(AND(B9&gt;=CALENDARIO!$B$3,B9&lt;=CALENDARIO!$C$3),"FEVEREIRO",IF(AND(B9&gt;=CALENDARIO!$B$4,B9&lt;=CALENDARIO!$C$4),"MARÇO",IF(AND(B9&gt;=CALENDARIO!$B$5,B9&lt;=CALENDARIO!$C$5),"ABRIL",IF(AND(B9&gt;=CALENDARIO!$B$6,B9&lt;=CALENDARIO!$C$6),"MAIO",IF(AND(B9&gt;=CALENDARIO!$B$7,B9&lt;=CALENDARIO!$C$7),"JUNHO",IF(AND(B9&gt;=CALENDARIO!$B$8,B9&lt;=CALENDARIO!$C$8),"JULHO",IF(AND(B9&gt;=CALENDARIO!$B$9,B9&lt;=CALENDARIO!$C$9),"AGOSTO",IF(AND(B9&gt;=CALENDARIO!$B$10,B9&lt;=CALENDARIO!$C$10),"SETEMBRO",IF(AND(B9&gt;=CALENDARIO!$B$11,B9&lt;=CALENDARIO!$C$11),"OUTUBRO",IF(AND(B9&gt;=CALENDARIO!$B$12,B9&lt;=CALENDARIO!$C$12),"NOVEMBRO",IF(AND(B9&gt;=CALENDARIO!$B$13,B9&lt;=CALENDARIO!$C$13),"DEZEMBRO","FORA DO CALENDARIO"))))))))))))</f>
        <v>FORA DO CALENDARIO</v>
      </c>
      <c r="L9">
        <f>YEAR(LANC_DESPESAS[[#This Row],[DATA]])</f>
        <v>1900</v>
      </c>
    </row>
    <row r="10" spans="1:12" x14ac:dyDescent="0.3">
      <c r="B10" s="1"/>
    </row>
    <row r="11" spans="1:12" x14ac:dyDescent="0.3">
      <c r="B11" s="1"/>
    </row>
    <row r="12" spans="1:12" x14ac:dyDescent="0.3">
      <c r="B12" s="1"/>
    </row>
    <row r="13" spans="1:12" x14ac:dyDescent="0.3">
      <c r="B13" s="1"/>
    </row>
    <row r="14" spans="1:12" x14ac:dyDescent="0.3">
      <c r="B14" s="1"/>
    </row>
    <row r="15" spans="1:12" x14ac:dyDescent="0.3">
      <c r="B15" s="1"/>
    </row>
    <row r="16" spans="1:12" x14ac:dyDescent="0.3">
      <c r="B16" s="1"/>
    </row>
    <row r="17" spans="2:2" x14ac:dyDescent="0.3">
      <c r="B17" s="1"/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23" spans="2:2" x14ac:dyDescent="0.3">
      <c r="B23" s="1"/>
    </row>
    <row r="24" spans="2:2" x14ac:dyDescent="0.3">
      <c r="B24" s="1"/>
    </row>
    <row r="25" spans="2:2" x14ac:dyDescent="0.3">
      <c r="B25" s="1"/>
    </row>
    <row r="26" spans="2:2" x14ac:dyDescent="0.3">
      <c r="B26" s="1"/>
    </row>
    <row r="27" spans="2:2" x14ac:dyDescent="0.3">
      <c r="B27" s="1"/>
    </row>
    <row r="28" spans="2:2" x14ac:dyDescent="0.3">
      <c r="B28" s="1"/>
    </row>
    <row r="29" spans="2:2" x14ac:dyDescent="0.3">
      <c r="B29" s="1"/>
    </row>
    <row r="30" spans="2:2" x14ac:dyDescent="0.3">
      <c r="B3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8" r:id="rId4" name="Button 64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929640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5" name="Button 65">
              <controlPr defaultSize="0" print="0" autoFill="0" autoPict="0" macro="[0]!IR_DIN_LAN_FATU">
                <anchor>
                  <from>
                    <xdr:col>2</xdr:col>
                    <xdr:colOff>990600</xdr:colOff>
                    <xdr:row>0</xdr:row>
                    <xdr:rowOff>7620</xdr:rowOff>
                  </from>
                  <to>
                    <xdr:col>3</xdr:col>
                    <xdr:colOff>403860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6" name="Button 66">
              <controlPr defaultSize="0" print="0" autoFill="0" autoPict="0" macro="[0]!IR_DIN_LAN_OP">
                <anchor>
                  <from>
                    <xdr:col>3</xdr:col>
                    <xdr:colOff>464820</xdr:colOff>
                    <xdr:row>0</xdr:row>
                    <xdr:rowOff>7620</xdr:rowOff>
                  </from>
                  <to>
                    <xdr:col>4</xdr:col>
                    <xdr:colOff>320040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7" name="Button 67">
              <controlPr defaultSize="0" print="0" autoFill="0" autoPict="0" macro="[0]!IR_DIN_LAN_COMPRA">
                <anchor>
                  <from>
                    <xdr:col>4</xdr:col>
                    <xdr:colOff>381000</xdr:colOff>
                    <xdr:row>0</xdr:row>
                    <xdr:rowOff>7620</xdr:rowOff>
                  </from>
                  <to>
                    <xdr:col>4</xdr:col>
                    <xdr:colOff>1310640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8" name="Button 68">
              <controlPr defaultSize="0" print="0" autoFill="0" autoPict="0" macro="[0]!IR_DIN_LAN_DESP">
                <anchor>
                  <from>
                    <xdr:col>4</xdr:col>
                    <xdr:colOff>1371600</xdr:colOff>
                    <xdr:row>0</xdr:row>
                    <xdr:rowOff>7620</xdr:rowOff>
                  </from>
                  <to>
                    <xdr:col>5</xdr:col>
                    <xdr:colOff>335280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9" name="Button 69">
              <controlPr defaultSize="0" print="0" autoFill="0" autoPict="0" macro="[0]!IR_DIN_LAN_DESL">
                <anchor>
                  <from>
                    <xdr:col>5</xdr:col>
                    <xdr:colOff>396240</xdr:colOff>
                    <xdr:row>0</xdr:row>
                    <xdr:rowOff>7620</xdr:rowOff>
                  </from>
                  <to>
                    <xdr:col>6</xdr:col>
                    <xdr:colOff>152400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10" name="Button 70">
              <controlPr defaultSize="0" print="0" autoFill="0" autoPict="0" macro="[0]!IR_DIN_LAN_HORAS">
                <anchor>
                  <from>
                    <xdr:col>6</xdr:col>
                    <xdr:colOff>213360</xdr:colOff>
                    <xdr:row>0</xdr:row>
                    <xdr:rowOff>7620</xdr:rowOff>
                  </from>
                  <to>
                    <xdr:col>7</xdr:col>
                    <xdr:colOff>297180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11" name="Button 71">
              <controlPr defaultSize="0" print="0" autoFill="0" autoPict="0" macro="[0]!IR_DIN_LAN_OP_EXTRA">
                <anchor>
                  <from>
                    <xdr:col>7</xdr:col>
                    <xdr:colOff>358140</xdr:colOff>
                    <xdr:row>0</xdr:row>
                    <xdr:rowOff>7620</xdr:rowOff>
                  </from>
                  <to>
                    <xdr:col>7</xdr:col>
                    <xdr:colOff>1287780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12" name="Button 72">
              <controlPr defaultSize="0" print="0" autoFill="0" autoPict="0" macro="[0]!IR_DIN_LAN_FATU_EXTRA">
                <anchor>
                  <from>
                    <xdr:col>7</xdr:col>
                    <xdr:colOff>1348740</xdr:colOff>
                    <xdr:row>0</xdr:row>
                    <xdr:rowOff>7620</xdr:rowOff>
                  </from>
                  <to>
                    <xdr:col>8</xdr:col>
                    <xdr:colOff>845820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7" r:id="rId13" name="Button 73">
              <controlPr defaultSize="0" autoFill="0" autoPict="0" macro="[0]!IR_DIN_LAN_ORC">
                <anchor>
                  <from>
                    <xdr:col>8</xdr:col>
                    <xdr:colOff>883920</xdr:colOff>
                    <xdr:row>0</xdr:row>
                    <xdr:rowOff>7620</xdr:rowOff>
                  </from>
                  <to>
                    <xdr:col>9</xdr:col>
                    <xdr:colOff>800100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8" r:id="rId14" name="Button 74">
              <controlPr defaultSize="0" autoFill="0" autoPict="0" macro="[0]!IR_RESUMO_FAT">
                <anchor>
                  <from>
                    <xdr:col>9</xdr:col>
                    <xdr:colOff>838200</xdr:colOff>
                    <xdr:row>0</xdr:row>
                    <xdr:rowOff>0</xdr:rowOff>
                  </from>
                  <to>
                    <xdr:col>10</xdr:col>
                    <xdr:colOff>396240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9" r:id="rId15" name="Button 75">
              <controlPr defaultSize="0" autoFill="0" autoPict="0" macro="[0]!IR_DIN_AP">
                <anchor>
                  <from>
                    <xdr:col>10</xdr:col>
                    <xdr:colOff>441960</xdr:colOff>
                    <xdr:row>0</xdr:row>
                    <xdr:rowOff>0</xdr:rowOff>
                  </from>
                  <to>
                    <xdr:col>11</xdr:col>
                    <xdr:colOff>45720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theme="8" tint="0.59999389629810485"/>
  </sheetPr>
  <dimension ref="A1:M7"/>
  <sheetViews>
    <sheetView showGridLines="0" zoomScale="85" zoomScaleNormal="85" workbookViewId="0">
      <selection activeCell="G12" sqref="G12"/>
    </sheetView>
  </sheetViews>
  <sheetFormatPr defaultColWidth="0" defaultRowHeight="14.4" x14ac:dyDescent="0.3"/>
  <cols>
    <col min="1" max="1" width="9" customWidth="1"/>
    <col min="2" max="2" width="10.44140625" customWidth="1"/>
    <col min="3" max="3" width="16.33203125" bestFit="1" customWidth="1"/>
    <col min="4" max="4" width="18.6640625" customWidth="1"/>
    <col min="5" max="5" width="48.6640625" customWidth="1"/>
    <col min="6" max="6" width="16.109375" bestFit="1" customWidth="1"/>
    <col min="7" max="7" width="8.44140625" bestFit="1" customWidth="1"/>
    <col min="8" max="8" width="17.33203125" customWidth="1"/>
    <col min="9" max="9" width="28.5546875" customWidth="1"/>
    <col min="10" max="10" width="13.109375" bestFit="1" customWidth="1"/>
    <col min="11" max="11" width="21.109375" bestFit="1" customWidth="1"/>
    <col min="12" max="12" width="9.6640625" customWidth="1"/>
    <col min="13" max="13" width="9.109375" customWidth="1"/>
    <col min="14" max="16384" width="9.109375" hidden="1"/>
  </cols>
  <sheetData>
    <row r="1" spans="1:12" ht="44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</row>
    <row r="2" spans="1:12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</row>
    <row r="4" spans="1:12" x14ac:dyDescent="0.3">
      <c r="A4" t="s">
        <v>80</v>
      </c>
      <c r="B4" t="s">
        <v>54</v>
      </c>
      <c r="C4" t="s">
        <v>55</v>
      </c>
      <c r="D4" t="s">
        <v>81</v>
      </c>
      <c r="E4" t="s">
        <v>47</v>
      </c>
      <c r="F4" t="s">
        <v>82</v>
      </c>
      <c r="G4" t="s">
        <v>83</v>
      </c>
      <c r="H4" t="s">
        <v>84</v>
      </c>
      <c r="I4" t="s">
        <v>9</v>
      </c>
      <c r="J4" t="s">
        <v>85</v>
      </c>
      <c r="K4" t="s">
        <v>78</v>
      </c>
      <c r="L4" t="s">
        <v>86</v>
      </c>
    </row>
    <row r="5" spans="1:12" x14ac:dyDescent="0.3">
      <c r="K5" t="str">
        <f>IF(AND(B5&gt;=CALENDARIO!$B$2,B5&lt;=CALENDARIO!$C$2),"JANEIRO",IF(AND(B5&gt;=CALENDARIO!$B$3,B5&lt;=CALENDARIO!$C$3),"FEVEREIRO",IF(AND(B5&gt;=CALENDARIO!$B$4,B5&lt;=CALENDARIO!$C$4),"MARÇO",IF(AND(B5&gt;=CALENDARIO!$B$5,B5&lt;=CALENDARIO!$C$5),"ABRIL",IF(AND(B5&gt;=CALENDARIO!$B$6,B5&lt;=CALENDARIO!$C$6),"MAIO",IF(AND(B5&gt;=CALENDARIO!$B$7,B5&lt;=CALENDARIO!$C$7),"JUNHO",IF(AND(B5&gt;=CALENDARIO!$B$8,B5&lt;=CALENDARIO!$C$8),"JULHO",IF(AND(B5&gt;=CALENDARIO!$B$9,B5&lt;=CALENDARIO!$C$9),"AGOSTO",IF(AND(B5&gt;=CALENDARIO!$B$10,B5&lt;=CALENDARIO!$C$10),"SETEMBRO",IF(AND(B5&gt;=CALENDARIO!$B$11,B5&lt;=CALENDARIO!$C$11),"OUTUBRO",IF(AND(B5&gt;=CALENDARIO!$B$12,B5&lt;=CALENDARIO!$C$12),"NOVEMBRO",IF(AND(B5&gt;=CALENDARIO!$B$13,B5&lt;=CALENDARIO!$C$13),"DEZEMBRO","FORA DO CALENDARIO"))))))))))))</f>
        <v>FORA DO CALENDARIO</v>
      </c>
      <c r="L5">
        <f>YEAR(LANC_DESLOC[[#This Row],[DATA]])</f>
        <v>1900</v>
      </c>
    </row>
    <row r="6" spans="1:12" x14ac:dyDescent="0.3">
      <c r="K6" t="str">
        <f>IF(AND(B6&gt;=CALENDARIO!$B$2,B6&lt;=CALENDARIO!$C$2),"JANEIRO",IF(AND(B6&gt;=CALENDARIO!$B$3,B6&lt;=CALENDARIO!$C$3),"FEVEREIRO",IF(AND(B6&gt;=CALENDARIO!$B$4,B6&lt;=CALENDARIO!$C$4),"MARÇO",IF(AND(B6&gt;=CALENDARIO!$B$5,B6&lt;=CALENDARIO!$C$5),"ABRIL",IF(AND(B6&gt;=CALENDARIO!$B$6,B6&lt;=CALENDARIO!$C$6),"MAIO",IF(AND(B6&gt;=CALENDARIO!$B$7,B6&lt;=CALENDARIO!$C$7),"JUNHO",IF(AND(B6&gt;=CALENDARIO!$B$8,B6&lt;=CALENDARIO!$C$8),"JULHO",IF(AND(B6&gt;=CALENDARIO!$B$9,B6&lt;=CALENDARIO!$C$9),"AGOSTO",IF(AND(B6&gt;=CALENDARIO!$B$10,B6&lt;=CALENDARIO!$C$10),"SETEMBRO",IF(AND(B6&gt;=CALENDARIO!$B$11,B6&lt;=CALENDARIO!$C$11),"OUTUBRO",IF(AND(B6&gt;=CALENDARIO!$B$12,B6&lt;=CALENDARIO!$C$12),"NOVEMBRO",IF(AND(B6&gt;=CALENDARIO!$B$13,B6&lt;=CALENDARIO!$C$13),"DEZEMBRO","FORA DO CALENDARIO"))))))))))))</f>
        <v>FORA DO CALENDARIO</v>
      </c>
      <c r="L6">
        <f>YEAR(LANC_DESLOC[[#This Row],[DATA]])</f>
        <v>1900</v>
      </c>
    </row>
    <row r="7" spans="1:12" x14ac:dyDescent="0.3">
      <c r="K7" t="str">
        <f>IF(AND(B7&gt;=CALENDARIO!$B$2,B7&lt;=CALENDARIO!$C$2),"JANEIRO",IF(AND(B7&gt;=CALENDARIO!$B$3,B7&lt;=CALENDARIO!$C$3),"FEVEREIRO",IF(AND(B7&gt;=CALENDARIO!$B$4,B7&lt;=CALENDARIO!$C$4),"MARÇO",IF(AND(B7&gt;=CALENDARIO!$B$5,B7&lt;=CALENDARIO!$C$5),"ABRIL",IF(AND(B7&gt;=CALENDARIO!$B$6,B7&lt;=CALENDARIO!$C$6),"MAIO",IF(AND(B7&gt;=CALENDARIO!$B$7,B7&lt;=CALENDARIO!$C$7),"JUNHO",IF(AND(B7&gt;=CALENDARIO!$B$8,B7&lt;=CALENDARIO!$C$8),"JULHO",IF(AND(B7&gt;=CALENDARIO!$B$9,B7&lt;=CALENDARIO!$C$9),"AGOSTO",IF(AND(B7&gt;=CALENDARIO!$B$10,B7&lt;=CALENDARIO!$C$10),"SETEMBRO",IF(AND(B7&gt;=CALENDARIO!$B$11,B7&lt;=CALENDARIO!$C$11),"OUTUBRO",IF(AND(B7&gt;=CALENDARIO!$B$12,B7&lt;=CALENDARIO!$C$12),"NOVEMBRO",IF(AND(B7&gt;=CALENDARIO!$B$13,B7&lt;=CALENDARIO!$C$13),"DEZEMBRO","FORA DO CALENDARIO"))))))))))))</f>
        <v>FORA DO CALENDARIO</v>
      </c>
      <c r="L7">
        <f>YEAR(LANC_DESLOC[[#This Row],[DATA]])</f>
        <v>1900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58" r:id="rId3" name="Button 30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4" name="Button 31">
              <controlPr defaultSize="0" print="0" autoFill="0" autoPict="0" macro="[0]!IR_DIN_LAN_FATU">
                <anchor>
                  <from>
                    <xdr:col>2</xdr:col>
                    <xdr:colOff>1021080</xdr:colOff>
                    <xdr:row>0</xdr:row>
                    <xdr:rowOff>7620</xdr:rowOff>
                  </from>
                  <to>
                    <xdr:col>3</xdr:col>
                    <xdr:colOff>792480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5" name="Button 32">
              <controlPr defaultSize="0" print="0" autoFill="0" autoPict="0" macro="[0]!IR_DIN_LAN_OP">
                <anchor>
                  <from>
                    <xdr:col>3</xdr:col>
                    <xdr:colOff>861060</xdr:colOff>
                    <xdr:row>0</xdr:row>
                    <xdr:rowOff>7620</xdr:rowOff>
                  </from>
                  <to>
                    <xdr:col>4</xdr:col>
                    <xdr:colOff>533400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6" name="Button 33">
              <controlPr defaultSize="0" print="0" autoFill="0" autoPict="0" macro="[0]!IR_DIN_LAN_COMPRA">
                <anchor>
                  <from>
                    <xdr:col>4</xdr:col>
                    <xdr:colOff>594360</xdr:colOff>
                    <xdr:row>0</xdr:row>
                    <xdr:rowOff>7620</xdr:rowOff>
                  </from>
                  <to>
                    <xdr:col>4</xdr:col>
                    <xdr:colOff>1546860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7" name="Button 34">
              <controlPr defaultSize="0" print="0" autoFill="0" autoPict="0" macro="[0]!IR_DIN_LAN_DESP">
                <anchor>
                  <from>
                    <xdr:col>4</xdr:col>
                    <xdr:colOff>1607820</xdr:colOff>
                    <xdr:row>0</xdr:row>
                    <xdr:rowOff>7620</xdr:rowOff>
                  </from>
                  <to>
                    <xdr:col>4</xdr:col>
                    <xdr:colOff>2567940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8" name="Button 35">
              <controlPr defaultSize="0" print="0" autoFill="0" autoPict="0" macro="[0]!IR_DIN_LAN_DESL">
                <anchor>
                  <from>
                    <xdr:col>4</xdr:col>
                    <xdr:colOff>2628900</xdr:colOff>
                    <xdr:row>0</xdr:row>
                    <xdr:rowOff>7620</xdr:rowOff>
                  </from>
                  <to>
                    <xdr:col>5</xdr:col>
                    <xdr:colOff>251460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9" name="Button 36">
              <controlPr defaultSize="0" print="0" autoFill="0" autoPict="0" macro="[0]!IR_DIN_LAN_HORAS">
                <anchor>
                  <from>
                    <xdr:col>5</xdr:col>
                    <xdr:colOff>312420</xdr:colOff>
                    <xdr:row>0</xdr:row>
                    <xdr:rowOff>7620</xdr:rowOff>
                  </from>
                  <to>
                    <xdr:col>6</xdr:col>
                    <xdr:colOff>160020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10" name="Button 37">
              <controlPr defaultSize="0" print="0" autoFill="0" autoPict="0" macro="[0]!IR_DIN_LAN_OP_EXTRA">
                <anchor>
                  <from>
                    <xdr:col>6</xdr:col>
                    <xdr:colOff>228600</xdr:colOff>
                    <xdr:row>0</xdr:row>
                    <xdr:rowOff>7620</xdr:rowOff>
                  </from>
                  <to>
                    <xdr:col>7</xdr:col>
                    <xdr:colOff>594360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11" name="Button 38">
              <controlPr defaultSize="0" print="0" autoFill="0" autoPict="0" macro="[0]!IR_DIN_LAN_FATU_EXTRA">
                <anchor>
                  <from>
                    <xdr:col>7</xdr:col>
                    <xdr:colOff>662940</xdr:colOff>
                    <xdr:row>0</xdr:row>
                    <xdr:rowOff>7620</xdr:rowOff>
                  </from>
                  <to>
                    <xdr:col>8</xdr:col>
                    <xdr:colOff>541020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12" name="Button 39">
              <controlPr defaultSize="0" autoFill="0" autoPict="0" macro="[0]!IR_DIN_LAN_ORC">
                <anchor>
                  <from>
                    <xdr:col>8</xdr:col>
                    <xdr:colOff>586740</xdr:colOff>
                    <xdr:row>0</xdr:row>
                    <xdr:rowOff>7620</xdr:rowOff>
                  </from>
                  <to>
                    <xdr:col>8</xdr:col>
                    <xdr:colOff>1668780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13" name="Button 40">
              <controlPr defaultSize="0" autoFill="0" autoPict="0" macro="[0]!IR_RESUMO_FAT">
                <anchor>
                  <from>
                    <xdr:col>8</xdr:col>
                    <xdr:colOff>1706880</xdr:colOff>
                    <xdr:row>0</xdr:row>
                    <xdr:rowOff>0</xdr:rowOff>
                  </from>
                  <to>
                    <xdr:col>9</xdr:col>
                    <xdr:colOff>838200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14" name="Button 41">
              <controlPr defaultSize="0" autoFill="0" autoPict="0" macro="[0]!IR_DIN_AP">
                <anchor>
                  <from>
                    <xdr:col>9</xdr:col>
                    <xdr:colOff>883920</xdr:colOff>
                    <xdr:row>0</xdr:row>
                    <xdr:rowOff>0</xdr:rowOff>
                  </from>
                  <to>
                    <xdr:col>10</xdr:col>
                    <xdr:colOff>1074420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>
    <tabColor theme="8" tint="0.59999389629810485"/>
  </sheetPr>
  <dimension ref="A1:AH10"/>
  <sheetViews>
    <sheetView showGridLines="0" zoomScale="85" zoomScaleNormal="85" workbookViewId="0">
      <pane xSplit="2" ySplit="4" topLeftCell="C5" activePane="bottomRight" state="frozen"/>
      <selection activeCell="H30" sqref="H30"/>
      <selection pane="topRight" activeCell="H30" sqref="H30"/>
      <selection pane="bottomLeft" activeCell="H30" sqref="H30"/>
      <selection pane="bottomRight" activeCell="K17" sqref="K17"/>
    </sheetView>
  </sheetViews>
  <sheetFormatPr defaultColWidth="0" defaultRowHeight="14.4" x14ac:dyDescent="0.3"/>
  <cols>
    <col min="1" max="1" width="16" customWidth="1"/>
    <col min="2" max="2" width="16.5546875" bestFit="1" customWidth="1"/>
    <col min="3" max="3" width="19.33203125" customWidth="1"/>
    <col min="4" max="4" width="60.33203125" customWidth="1"/>
    <col min="5" max="5" width="15.33203125" customWidth="1"/>
    <col min="6" max="6" width="18.33203125" style="3" bestFit="1" customWidth="1"/>
    <col min="7" max="7" width="21.33203125" style="3" bestFit="1" customWidth="1"/>
    <col min="8" max="8" width="19" bestFit="1" customWidth="1"/>
    <col min="9" max="9" width="20.33203125" bestFit="1" customWidth="1"/>
    <col min="10" max="10" width="41.6640625" style="1" bestFit="1" customWidth="1"/>
    <col min="11" max="11" width="29.33203125" style="1" bestFit="1" customWidth="1"/>
    <col min="12" max="12" width="21.109375" style="1" bestFit="1" customWidth="1"/>
    <col min="13" max="13" width="14.5546875" style="1" hidden="1" customWidth="1"/>
    <col min="14" max="14" width="9.109375" customWidth="1"/>
    <col min="15" max="20" width="9.109375" hidden="1" customWidth="1"/>
    <col min="21" max="21" width="30.109375" hidden="1" customWidth="1"/>
    <col min="22" max="22" width="43.109375" hidden="1" customWidth="1"/>
    <col min="23" max="23" width="40.6640625" hidden="1" customWidth="1"/>
    <col min="24" max="24" width="25" hidden="1" customWidth="1"/>
    <col min="25" max="25" width="22.6640625" hidden="1" customWidth="1"/>
    <col min="26" max="26" width="33.33203125" hidden="1" customWidth="1"/>
    <col min="27" max="27" width="33.109375" hidden="1" customWidth="1"/>
    <col min="28" max="28" width="33.88671875" hidden="1" customWidth="1"/>
    <col min="29" max="29" width="40.33203125" hidden="1" customWidth="1"/>
    <col min="30" max="30" width="41.6640625" hidden="1" customWidth="1"/>
    <col min="31" max="31" width="10.5546875" hidden="1" customWidth="1"/>
    <col min="32" max="32" width="27.5546875" hidden="1" customWidth="1"/>
    <col min="33" max="33" width="25.5546875" hidden="1" customWidth="1"/>
    <col min="34" max="34" width="29.33203125" hidden="1" customWidth="1"/>
    <col min="35" max="16384" width="9.109375" hidden="1"/>
  </cols>
  <sheetData>
    <row r="1" spans="1:13" ht="42" customHeight="1" x14ac:dyDescent="0.3">
      <c r="A1" s="77"/>
      <c r="B1" s="77"/>
      <c r="C1" s="77"/>
      <c r="D1" s="77"/>
      <c r="E1" s="77"/>
      <c r="F1" s="90"/>
      <c r="G1" s="90"/>
      <c r="H1" s="77"/>
      <c r="I1" s="77"/>
      <c r="J1" s="91"/>
      <c r="K1" s="91"/>
      <c r="L1" s="91"/>
      <c r="M1" s="91"/>
    </row>
    <row r="2" spans="1:13" ht="23.25" customHeight="1" x14ac:dyDescent="0.3">
      <c r="A2" s="130"/>
      <c r="B2" s="130"/>
      <c r="C2" s="130"/>
      <c r="D2" s="130"/>
      <c r="E2" s="130"/>
      <c r="F2" s="131"/>
      <c r="G2" s="131"/>
      <c r="H2" s="130"/>
      <c r="I2" s="130"/>
      <c r="J2" s="132"/>
      <c r="K2" s="132"/>
      <c r="L2" s="132"/>
      <c r="M2" s="132"/>
    </row>
    <row r="3" spans="1:13" ht="9" customHeight="1" x14ac:dyDescent="0.3"/>
    <row r="4" spans="1:13" x14ac:dyDescent="0.3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s="3" t="s">
        <v>177</v>
      </c>
      <c r="G4" s="1" t="s">
        <v>7</v>
      </c>
      <c r="H4" t="s">
        <v>176</v>
      </c>
      <c r="I4" t="s">
        <v>8</v>
      </c>
      <c r="J4" s="1" t="s">
        <v>9</v>
      </c>
      <c r="K4" t="s">
        <v>31</v>
      </c>
      <c r="L4" s="1" t="s">
        <v>78</v>
      </c>
      <c r="M4" s="1" t="s">
        <v>86</v>
      </c>
    </row>
    <row r="5" spans="1:13" x14ac:dyDescent="0.3">
      <c r="E5" s="3"/>
      <c r="G5" s="1"/>
      <c r="K5" t="s">
        <v>79</v>
      </c>
      <c r="L5" s="1" t="str">
        <f>IF(AND(H5&gt;=CALENDARIO!$B$2,H5&lt;=CALENDARIO!$C$2),"JANEIRO",IF(AND(H5&gt;=CALENDARIO!$B$3,H5&lt;=CALENDARIO!$C$3),"FEVEREIRO",IF(AND(H5&gt;=CALENDARIO!$B$4,H5&lt;=CALENDARIO!$C$4),"MARÇO",IF(AND(H5&gt;=CALENDARIO!$B$5,H5&lt;=CALENDARIO!$C$5),"ABRIL",IF(AND(H5&gt;=CALENDARIO!$B$6,H5&lt;=CALENDARIO!$C$6),"MAIO",IF(AND(H5&gt;=CALENDARIO!$B$7,H5&lt;=CALENDARIO!$C$7),"JUNHO",IF(AND(H5&gt;=CALENDARIO!$B$8,H5&lt;=CALENDARIO!$C$8),"JULHO",IF(AND(H5&gt;=CALENDARIO!$B$9,H5&lt;=CALENDARIO!$C$9),"AGOSTO",IF(AND(H5&gt;=CALENDARIO!$B$10,H5&lt;=CALENDARIO!$C$10),"SETEMBRO",IF(AND(H5&gt;=CALENDARIO!$B$11,H5&lt;=CALENDARIO!$C$11),"OUTUBRO",IF(AND(H5&gt;=CALENDARIO!$B$12,H5&lt;=CALENDARIO!$C$12),"NOVEMBRO",IF(AND(H5&gt;=CALENDARIO!$B$13,H5&lt;=CALENDARIO!$C$13),"DEZEMBRO","FORA DO CALENDARIO"))))))))))))</f>
        <v>FORA DO CALENDARIO</v>
      </c>
      <c r="M5" s="1">
        <f>YEAR(LAN_ORCAMENTO[[#This Row],[DATA ENVIO]])</f>
        <v>1900</v>
      </c>
    </row>
    <row r="6" spans="1:13" x14ac:dyDescent="0.3">
      <c r="E6" s="3"/>
      <c r="G6" s="1"/>
      <c r="K6" t="s">
        <v>79</v>
      </c>
      <c r="L6" s="1" t="str">
        <f>IF(AND(H6&gt;=CALENDARIO!$B$2,H6&lt;=CALENDARIO!$C$2),"JANEIRO",IF(AND(H6&gt;=CALENDARIO!$B$3,H6&lt;=CALENDARIO!$C$3),"FEVEREIRO",IF(AND(H6&gt;=CALENDARIO!$B$4,H6&lt;=CALENDARIO!$C$4),"MARÇO",IF(AND(H6&gt;=CALENDARIO!$B$5,H6&lt;=CALENDARIO!$C$5),"ABRIL",IF(AND(H6&gt;=CALENDARIO!$B$6,H6&lt;=CALENDARIO!$C$6),"MAIO",IF(AND(H6&gt;=CALENDARIO!$B$7,H6&lt;=CALENDARIO!$C$7),"JUNHO",IF(AND(H6&gt;=CALENDARIO!$B$8,H6&lt;=CALENDARIO!$C$8),"JULHO",IF(AND(H6&gt;=CALENDARIO!$B$9,H6&lt;=CALENDARIO!$C$9),"AGOSTO",IF(AND(H6&gt;=CALENDARIO!$B$10,H6&lt;=CALENDARIO!$C$10),"SETEMBRO",IF(AND(H6&gt;=CALENDARIO!$B$11,H6&lt;=CALENDARIO!$C$11),"OUTUBRO",IF(AND(H6&gt;=CALENDARIO!$B$12,H6&lt;=CALENDARIO!$C$12),"NOVEMBRO",IF(AND(H6&gt;=CALENDARIO!$B$13,H6&lt;=CALENDARIO!$C$13),"DEZEMBRO","FORA DO CALENDARIO"))))))))))))</f>
        <v>FORA DO CALENDARIO</v>
      </c>
      <c r="M6" s="1">
        <f>YEAR(LAN_ORCAMENTO[[#This Row],[DATA ENVIO]])</f>
        <v>1900</v>
      </c>
    </row>
    <row r="7" spans="1:13" x14ac:dyDescent="0.3">
      <c r="E7" s="3"/>
      <c r="G7" s="1"/>
      <c r="K7" t="s">
        <v>79</v>
      </c>
      <c r="L7" s="1" t="str">
        <f>IF(AND(H7&gt;=CALENDARIO!$B$2,H7&lt;=CALENDARIO!$C$2),"JANEIRO",IF(AND(H7&gt;=CALENDARIO!$B$3,H7&lt;=CALENDARIO!$C$3),"FEVEREIRO",IF(AND(H7&gt;=CALENDARIO!$B$4,H7&lt;=CALENDARIO!$C$4),"MARÇO",IF(AND(H7&gt;=CALENDARIO!$B$5,H7&lt;=CALENDARIO!$C$5),"ABRIL",IF(AND(H7&gt;=CALENDARIO!$B$6,H7&lt;=CALENDARIO!$C$6),"MAIO",IF(AND(H7&gt;=CALENDARIO!$B$7,H7&lt;=CALENDARIO!$C$7),"JUNHO",IF(AND(H7&gt;=CALENDARIO!$B$8,H7&lt;=CALENDARIO!$C$8),"JULHO",IF(AND(H7&gt;=CALENDARIO!$B$9,H7&lt;=CALENDARIO!$C$9),"AGOSTO",IF(AND(H7&gt;=CALENDARIO!$B$10,H7&lt;=CALENDARIO!$C$10),"SETEMBRO",IF(AND(H7&gt;=CALENDARIO!$B$11,H7&lt;=CALENDARIO!$C$11),"OUTUBRO",IF(AND(H7&gt;=CALENDARIO!$B$12,H7&lt;=CALENDARIO!$C$12),"NOVEMBRO",IF(AND(H7&gt;=CALENDARIO!$B$13,H7&lt;=CALENDARIO!$C$13),"DEZEMBRO","FORA DO CALENDARIO"))))))))))))</f>
        <v>FORA DO CALENDARIO</v>
      </c>
      <c r="M7" s="1">
        <f>YEAR(LAN_ORCAMENTO[[#This Row],[DATA ENVIO]])</f>
        <v>1900</v>
      </c>
    </row>
    <row r="8" spans="1:13" x14ac:dyDescent="0.3">
      <c r="E8" s="3"/>
      <c r="G8" s="1"/>
      <c r="K8" t="s">
        <v>79</v>
      </c>
      <c r="L8" s="1" t="str">
        <f>IF(AND(H8&gt;=CALENDARIO!$B$2,H8&lt;=CALENDARIO!$C$2),"JANEIRO",IF(AND(H8&gt;=CALENDARIO!$B$3,H8&lt;=CALENDARIO!$C$3),"FEVEREIRO",IF(AND(H8&gt;=CALENDARIO!$B$4,H8&lt;=CALENDARIO!$C$4),"MARÇO",IF(AND(H8&gt;=CALENDARIO!$B$5,H8&lt;=CALENDARIO!$C$5),"ABRIL",IF(AND(H8&gt;=CALENDARIO!$B$6,H8&lt;=CALENDARIO!$C$6),"MAIO",IF(AND(H8&gt;=CALENDARIO!$B$7,H8&lt;=CALENDARIO!$C$7),"JUNHO",IF(AND(H8&gt;=CALENDARIO!$B$8,H8&lt;=CALENDARIO!$C$8),"JULHO",IF(AND(H8&gt;=CALENDARIO!$B$9,H8&lt;=CALENDARIO!$C$9),"AGOSTO",IF(AND(H8&gt;=CALENDARIO!$B$10,H8&lt;=CALENDARIO!$C$10),"SETEMBRO",IF(AND(H8&gt;=CALENDARIO!$B$11,H8&lt;=CALENDARIO!$C$11),"OUTUBRO",IF(AND(H8&gt;=CALENDARIO!$B$12,H8&lt;=CALENDARIO!$C$12),"NOVEMBRO",IF(AND(H8&gt;=CALENDARIO!$B$13,H8&lt;=CALENDARIO!$C$13),"DEZEMBRO","FORA DO CALENDARIO"))))))))))))</f>
        <v>FORA DO CALENDARIO</v>
      </c>
      <c r="M8" s="1">
        <f>YEAR(LAN_ORCAMENTO[[#This Row],[DATA ENVIO]])</f>
        <v>1900</v>
      </c>
    </row>
    <row r="9" spans="1:13" x14ac:dyDescent="0.3">
      <c r="E9" s="3"/>
      <c r="G9" s="1"/>
      <c r="K9" t="s">
        <v>79</v>
      </c>
      <c r="L9" s="1" t="str">
        <f>IF(AND(H9&gt;=CALENDARIO!$B$2,H9&lt;=CALENDARIO!$C$2),"JANEIRO",IF(AND(H9&gt;=CALENDARIO!$B$3,H9&lt;=CALENDARIO!$C$3),"FEVEREIRO",IF(AND(H9&gt;=CALENDARIO!$B$4,H9&lt;=CALENDARIO!$C$4),"MARÇO",IF(AND(H9&gt;=CALENDARIO!$B$5,H9&lt;=CALENDARIO!$C$5),"ABRIL",IF(AND(H9&gt;=CALENDARIO!$B$6,H9&lt;=CALENDARIO!$C$6),"MAIO",IF(AND(H9&gt;=CALENDARIO!$B$7,H9&lt;=CALENDARIO!$C$7),"JUNHO",IF(AND(H9&gt;=CALENDARIO!$B$8,H9&lt;=CALENDARIO!$C$8),"JULHO",IF(AND(H9&gt;=CALENDARIO!$B$9,H9&lt;=CALENDARIO!$C$9),"AGOSTO",IF(AND(H9&gt;=CALENDARIO!$B$10,H9&lt;=CALENDARIO!$C$10),"SETEMBRO",IF(AND(H9&gt;=CALENDARIO!$B$11,H9&lt;=CALENDARIO!$C$11),"OUTUBRO",IF(AND(H9&gt;=CALENDARIO!$B$12,H9&lt;=CALENDARIO!$C$12),"NOVEMBRO",IF(AND(H9&gt;=CALENDARIO!$B$13,H9&lt;=CALENDARIO!$C$13),"DEZEMBRO","FORA DO CALENDARIO"))))))))))))</f>
        <v>FORA DO CALENDARIO</v>
      </c>
      <c r="M9" s="1">
        <f>YEAR(LAN_ORCAMENTO[[#This Row],[DATA ENVIO]])</f>
        <v>1900</v>
      </c>
    </row>
    <row r="10" spans="1:13" x14ac:dyDescent="0.3">
      <c r="E10" s="3"/>
      <c r="G10" s="1"/>
      <c r="K10" t="s">
        <v>79</v>
      </c>
      <c r="L10" s="1" t="str">
        <f>IF(AND(H10&gt;=CALENDARIO!$B$2,H10&lt;=CALENDARIO!$C$2),"JANEIRO",IF(AND(H10&gt;=CALENDARIO!$B$3,H10&lt;=CALENDARIO!$C$3),"FEVEREIRO",IF(AND(H10&gt;=CALENDARIO!$B$4,H10&lt;=CALENDARIO!$C$4),"MARÇO",IF(AND(H10&gt;=CALENDARIO!$B$5,H10&lt;=CALENDARIO!$C$5),"ABRIL",IF(AND(H10&gt;=CALENDARIO!$B$6,H10&lt;=CALENDARIO!$C$6),"MAIO",IF(AND(H10&gt;=CALENDARIO!$B$7,H10&lt;=CALENDARIO!$C$7),"JUNHO",IF(AND(H10&gt;=CALENDARIO!$B$8,H10&lt;=CALENDARIO!$C$8),"JULHO",IF(AND(H10&gt;=CALENDARIO!$B$9,H10&lt;=CALENDARIO!$C$9),"AGOSTO",IF(AND(H10&gt;=CALENDARIO!$B$10,H10&lt;=CALENDARIO!$C$10),"SETEMBRO",IF(AND(H10&gt;=CALENDARIO!$B$11,H10&lt;=CALENDARIO!$C$11),"OUTUBRO",IF(AND(H10&gt;=CALENDARIO!$B$12,H10&lt;=CALENDARIO!$C$12),"NOVEMBRO",IF(AND(H10&gt;=CALENDARIO!$B$13,H10&lt;=CALENDARIO!$C$13),"DEZEMBRO","FORA DO CALENDARIO"))))))))))))</f>
        <v>FORA DO CALENDARIO</v>
      </c>
      <c r="M10" s="1">
        <f>YEAR(LAN_ORCAMENTO[[#This Row],[DATA ENVIO]])</f>
        <v>1900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5" r:id="rId4" name="Button 29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5" name="Button 30">
              <controlPr defaultSize="0" print="0" autoFill="0" autoPict="0" macro="[0]!IR_DIN_LAN_FATU">
                <anchor>
                  <from>
                    <xdr:col>2</xdr:col>
                    <xdr:colOff>1021080</xdr:colOff>
                    <xdr:row>0</xdr:row>
                    <xdr:rowOff>7620</xdr:rowOff>
                  </from>
                  <to>
                    <xdr:col>3</xdr:col>
                    <xdr:colOff>594360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6" name="Button 31">
              <controlPr defaultSize="0" print="0" autoFill="0" autoPict="0" macro="[0]!IR_DIN_LAN_OP">
                <anchor>
                  <from>
                    <xdr:col>3</xdr:col>
                    <xdr:colOff>655320</xdr:colOff>
                    <xdr:row>0</xdr:row>
                    <xdr:rowOff>7620</xdr:rowOff>
                  </from>
                  <to>
                    <xdr:col>3</xdr:col>
                    <xdr:colOff>1607820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7" name="Button 32">
              <controlPr defaultSize="0" print="0" autoFill="0" autoPict="0" macro="[0]!IR_DIN_LAN_COMPRA">
                <anchor>
                  <from>
                    <xdr:col>3</xdr:col>
                    <xdr:colOff>1676400</xdr:colOff>
                    <xdr:row>0</xdr:row>
                    <xdr:rowOff>7620</xdr:rowOff>
                  </from>
                  <to>
                    <xdr:col>3</xdr:col>
                    <xdr:colOff>2628900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8" name="Button 33">
              <controlPr defaultSize="0" print="0" autoFill="0" autoPict="0" macro="[0]!IR_DIN_LAN_DESP">
                <anchor>
                  <from>
                    <xdr:col>3</xdr:col>
                    <xdr:colOff>2689860</xdr:colOff>
                    <xdr:row>0</xdr:row>
                    <xdr:rowOff>7620</xdr:rowOff>
                  </from>
                  <to>
                    <xdr:col>3</xdr:col>
                    <xdr:colOff>3649980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9" name="Button 34">
              <controlPr defaultSize="0" print="0" autoFill="0" autoPict="0" macro="[0]!IR_DIN_LAN_DESL">
                <anchor>
                  <from>
                    <xdr:col>3</xdr:col>
                    <xdr:colOff>3710940</xdr:colOff>
                    <xdr:row>0</xdr:row>
                    <xdr:rowOff>7620</xdr:rowOff>
                  </from>
                  <to>
                    <xdr:col>4</xdr:col>
                    <xdr:colOff>525780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10" name="Button 35">
              <controlPr defaultSize="0" print="0" autoFill="0" autoPict="0" macro="[0]!IR_DIN_LAN_HORAS">
                <anchor>
                  <from>
                    <xdr:col>4</xdr:col>
                    <xdr:colOff>586740</xdr:colOff>
                    <xdr:row>0</xdr:row>
                    <xdr:rowOff>7620</xdr:rowOff>
                  </from>
                  <to>
                    <xdr:col>5</xdr:col>
                    <xdr:colOff>495300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11" name="Button 36">
              <controlPr defaultSize="0" print="0" autoFill="0" autoPict="0" macro="[0]!IR_DIN_LAN_OP_EXTRA">
                <anchor>
                  <from>
                    <xdr:col>5</xdr:col>
                    <xdr:colOff>556260</xdr:colOff>
                    <xdr:row>0</xdr:row>
                    <xdr:rowOff>7620</xdr:rowOff>
                  </from>
                  <to>
                    <xdr:col>6</xdr:col>
                    <xdr:colOff>259080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12" name="Button 37">
              <controlPr defaultSize="0" print="0" autoFill="0" autoPict="0" macro="[0]!IR_DIN_LAN_FATU_EXTRA">
                <anchor>
                  <from>
                    <xdr:col>6</xdr:col>
                    <xdr:colOff>320040</xdr:colOff>
                    <xdr:row>0</xdr:row>
                    <xdr:rowOff>7620</xdr:rowOff>
                  </from>
                  <to>
                    <xdr:col>6</xdr:col>
                    <xdr:colOff>1394460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13" name="Button 38">
              <controlPr defaultSize="0" autoFill="0" autoPict="0" macro="[0]!IR_DIN_LAN_ORC">
                <anchor>
                  <from>
                    <xdr:col>6</xdr:col>
                    <xdr:colOff>1447800</xdr:colOff>
                    <xdr:row>0</xdr:row>
                    <xdr:rowOff>7620</xdr:rowOff>
                  </from>
                  <to>
                    <xdr:col>7</xdr:col>
                    <xdr:colOff>1066800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14" name="Button 39">
              <controlPr defaultSize="0" autoFill="0" autoPict="0" macro="[0]!IR_RESUMO_FAT">
                <anchor>
                  <from>
                    <xdr:col>7</xdr:col>
                    <xdr:colOff>1104900</xdr:colOff>
                    <xdr:row>0</xdr:row>
                    <xdr:rowOff>0</xdr:rowOff>
                  </from>
                  <to>
                    <xdr:col>8</xdr:col>
                    <xdr:colOff>891540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15" name="Button 40">
              <controlPr defaultSize="0" autoFill="0" autoPict="0" macro="[0]!IR_DIN_AP">
                <anchor>
                  <from>
                    <xdr:col>8</xdr:col>
                    <xdr:colOff>937260</xdr:colOff>
                    <xdr:row>0</xdr:row>
                    <xdr:rowOff>0</xdr:rowOff>
                  </from>
                  <to>
                    <xdr:col>9</xdr:col>
                    <xdr:colOff>624840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VALORES_HXH!$I$2:$I$9</xm:f>
          </x14:formula1>
          <xm:sqref>B5:B10</xm:sqref>
        </x14:dataValidation>
        <x14:dataValidation type="list" allowBlank="1" showInputMessage="1" showErrorMessage="1" xr:uid="{00000000-0002-0000-0800-000001000000}">
          <x14:formula1>
            <xm:f>VALORES_HXH!$G$14:$G$15</xm:f>
          </x14:formula1>
          <xm:sqref>K5:K10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2">
    <tabColor theme="6" tint="0.79998168889431442"/>
  </sheetPr>
  <dimension ref="A1:R11"/>
  <sheetViews>
    <sheetView showGridLines="0" zoomScale="85" zoomScaleNormal="85" workbookViewId="0">
      <selection activeCell="F14" sqref="F14"/>
    </sheetView>
  </sheetViews>
  <sheetFormatPr defaultColWidth="0" defaultRowHeight="14.4" x14ac:dyDescent="0.3"/>
  <cols>
    <col min="1" max="1" width="15.44140625" customWidth="1"/>
    <col min="2" max="2" width="14" customWidth="1"/>
    <col min="3" max="3" width="10.6640625" bestFit="1" customWidth="1"/>
    <col min="4" max="4" width="20.6640625" customWidth="1"/>
    <col min="5" max="5" width="18.88671875" bestFit="1" customWidth="1"/>
    <col min="6" max="6" width="36.88671875" bestFit="1" customWidth="1"/>
    <col min="7" max="7" width="21.109375" bestFit="1" customWidth="1"/>
    <col min="8" max="8" width="21.33203125" bestFit="1" customWidth="1"/>
    <col min="9" max="9" width="16.6640625" bestFit="1" customWidth="1"/>
    <col min="10" max="10" width="13.88671875" bestFit="1" customWidth="1"/>
    <col min="11" max="11" width="25.88671875" customWidth="1"/>
    <col min="12" max="12" width="47" bestFit="1" customWidth="1"/>
    <col min="13" max="13" width="32.44140625" bestFit="1" customWidth="1"/>
    <col min="14" max="14" width="34.109375" bestFit="1" customWidth="1"/>
    <col min="15" max="15" width="26" bestFit="1" customWidth="1"/>
    <col min="16" max="16" width="25.88671875" customWidth="1"/>
    <col min="17" max="17" width="35.33203125" bestFit="1" customWidth="1"/>
    <col min="18" max="18" width="9.109375" customWidth="1"/>
    <col min="19" max="16384" width="9.109375" hidden="1"/>
  </cols>
  <sheetData>
    <row r="1" spans="1:17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17" ht="23.2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</row>
    <row r="3" spans="1:17" x14ac:dyDescent="0.3">
      <c r="C3" s="82" t="s">
        <v>213</v>
      </c>
      <c r="E3" s="4">
        <f>GETPIVOTDATA("VALOR CONTRATO",$C$10)</f>
        <v>0</v>
      </c>
    </row>
    <row r="4" spans="1:17" x14ac:dyDescent="0.3">
      <c r="C4" s="82"/>
      <c r="E4" s="4"/>
    </row>
    <row r="5" spans="1:17" x14ac:dyDescent="0.3">
      <c r="C5" s="82"/>
      <c r="E5" s="4"/>
    </row>
    <row r="6" spans="1:17" x14ac:dyDescent="0.3">
      <c r="C6" s="82"/>
      <c r="E6" s="11"/>
    </row>
    <row r="8" spans="1:17" x14ac:dyDescent="0.3">
      <c r="C8" s="81" t="s">
        <v>31</v>
      </c>
      <c r="D8" t="s">
        <v>262</v>
      </c>
    </row>
    <row r="10" spans="1:17" x14ac:dyDescent="0.3">
      <c r="C10" s="81" t="s">
        <v>0</v>
      </c>
      <c r="D10" s="81" t="s">
        <v>1</v>
      </c>
      <c r="E10" s="81" t="s">
        <v>2</v>
      </c>
      <c r="F10" s="81" t="s">
        <v>3</v>
      </c>
      <c r="G10" s="81" t="s">
        <v>4</v>
      </c>
      <c r="H10" s="81" t="s">
        <v>10</v>
      </c>
      <c r="I10" s="81" t="s">
        <v>11</v>
      </c>
      <c r="J10" s="81" t="s">
        <v>206</v>
      </c>
      <c r="K10" t="s">
        <v>148</v>
      </c>
      <c r="L10" t="s">
        <v>155</v>
      </c>
      <c r="M10" t="s">
        <v>149</v>
      </c>
      <c r="N10" t="s">
        <v>150</v>
      </c>
      <c r="O10" t="s">
        <v>196</v>
      </c>
    </row>
    <row r="11" spans="1:17" x14ac:dyDescent="0.3">
      <c r="C11" t="s">
        <v>261</v>
      </c>
      <c r="K11" s="208"/>
      <c r="L11" s="208"/>
      <c r="M11" s="208"/>
      <c r="N11" s="208"/>
      <c r="O11" s="154"/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43" r:id="rId4" name="Button 2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3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5" name="Button 28">
              <controlPr defaultSize="0" print="0" autoFill="0" autoPict="0" macro="[0]!IR_DIN_LAN_FATU">
                <anchor>
                  <from>
                    <xdr:col>3</xdr:col>
                    <xdr:colOff>281940</xdr:colOff>
                    <xdr:row>0</xdr:row>
                    <xdr:rowOff>7620</xdr:rowOff>
                  </from>
                  <to>
                    <xdr:col>3</xdr:col>
                    <xdr:colOff>1181100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6" name="Button 29">
              <controlPr defaultSize="0" print="0" autoFill="0" autoPict="0" macro="[0]!IR_DIN_LAN_OP">
                <anchor>
                  <from>
                    <xdr:col>3</xdr:col>
                    <xdr:colOff>1249680</xdr:colOff>
                    <xdr:row>0</xdr:row>
                    <xdr:rowOff>7620</xdr:rowOff>
                  </from>
                  <to>
                    <xdr:col>4</xdr:col>
                    <xdr:colOff>784860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7" name="Button 30">
              <controlPr defaultSize="0" print="0" autoFill="0" autoPict="0" macro="[0]!IR_DIN_LAN_COMPRA">
                <anchor>
                  <from>
                    <xdr:col>4</xdr:col>
                    <xdr:colOff>853440</xdr:colOff>
                    <xdr:row>0</xdr:row>
                    <xdr:rowOff>7620</xdr:rowOff>
                  </from>
                  <to>
                    <xdr:col>5</xdr:col>
                    <xdr:colOff>510540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8" name="Button 31">
              <controlPr defaultSize="0" print="0" autoFill="0" autoPict="0" macro="[0]!IR_DIN_LAN_DESP">
                <anchor>
                  <from>
                    <xdr:col>5</xdr:col>
                    <xdr:colOff>571500</xdr:colOff>
                    <xdr:row>0</xdr:row>
                    <xdr:rowOff>7620</xdr:rowOff>
                  </from>
                  <to>
                    <xdr:col>5</xdr:col>
                    <xdr:colOff>1524000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9" name="Button 32">
              <controlPr defaultSize="0" print="0" autoFill="0" autoPict="0" macro="[0]!IR_DIN_LAN_DESL">
                <anchor>
                  <from>
                    <xdr:col>5</xdr:col>
                    <xdr:colOff>1592580</xdr:colOff>
                    <xdr:row>0</xdr:row>
                    <xdr:rowOff>7620</xdr:rowOff>
                  </from>
                  <to>
                    <xdr:col>6</xdr:col>
                    <xdr:colOff>22860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10" name="Button 33">
              <controlPr defaultSize="0" print="0" autoFill="0" autoPict="0" macro="[0]!IR_DIN_LAN_HORAS">
                <anchor>
                  <from>
                    <xdr:col>6</xdr:col>
                    <xdr:colOff>83820</xdr:colOff>
                    <xdr:row>0</xdr:row>
                    <xdr:rowOff>7620</xdr:rowOff>
                  </from>
                  <to>
                    <xdr:col>6</xdr:col>
                    <xdr:colOff>1036320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11" name="Button 35">
              <controlPr defaultSize="0" print="0" autoFill="0" autoPict="0" macro="[0]!IR_DIN_LAN_FATU_EXTRA">
                <anchor>
                  <from>
                    <xdr:col>6</xdr:col>
                    <xdr:colOff>1097280</xdr:colOff>
                    <xdr:row>0</xdr:row>
                    <xdr:rowOff>15240</xdr:rowOff>
                  </from>
                  <to>
                    <xdr:col>7</xdr:col>
                    <xdr:colOff>723900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12" name="Button 36">
              <controlPr defaultSize="0" autoFill="0" autoPict="0" macro="[0]!IR_DIN_LAN_ORC">
                <anchor>
                  <from>
                    <xdr:col>7</xdr:col>
                    <xdr:colOff>769620</xdr:colOff>
                    <xdr:row>0</xdr:row>
                    <xdr:rowOff>15240</xdr:rowOff>
                  </from>
                  <to>
                    <xdr:col>8</xdr:col>
                    <xdr:colOff>388620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13" name="Button 37">
              <controlPr defaultSize="0" autoFill="0" autoPict="0" macro="[0]!IR_RESUMO_FAT">
                <anchor>
                  <from>
                    <xdr:col>8</xdr:col>
                    <xdr:colOff>426720</xdr:colOff>
                    <xdr:row>0</xdr:row>
                    <xdr:rowOff>7620</xdr:rowOff>
                  </from>
                  <to>
                    <xdr:col>9</xdr:col>
                    <xdr:colOff>365760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14" name="Button 38">
              <controlPr defaultSize="0" autoFill="0" autoPict="0" macro="[0]!IR_DIN_AP">
                <anchor>
                  <from>
                    <xdr:col>9</xdr:col>
                    <xdr:colOff>419100</xdr:colOff>
                    <xdr:row>0</xdr:row>
                    <xdr:rowOff>7620</xdr:rowOff>
                  </from>
                  <to>
                    <xdr:col>10</xdr:col>
                    <xdr:colOff>548640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">
    <tabColor theme="6" tint="0.79998168889431442"/>
  </sheetPr>
  <dimension ref="A1:Q10"/>
  <sheetViews>
    <sheetView showGridLines="0" zoomScale="85" zoomScaleNormal="85" workbookViewId="0">
      <selection activeCell="D20" sqref="D20"/>
    </sheetView>
  </sheetViews>
  <sheetFormatPr defaultColWidth="0" defaultRowHeight="14.4" x14ac:dyDescent="0.3"/>
  <cols>
    <col min="1" max="1" width="14.6640625" customWidth="1"/>
    <col min="2" max="2" width="15" customWidth="1"/>
    <col min="3" max="4" width="18.88671875" bestFit="1" customWidth="1"/>
    <col min="5" max="5" width="31.44140625" customWidth="1"/>
    <col min="6" max="6" width="16.44140625" bestFit="1" customWidth="1"/>
    <col min="7" max="7" width="14.44140625" bestFit="1" customWidth="1"/>
    <col min="8" max="8" width="16.88671875" bestFit="1" customWidth="1"/>
    <col min="9" max="9" width="22.109375" bestFit="1" customWidth="1"/>
    <col min="10" max="10" width="35.77734375" bestFit="1" customWidth="1"/>
    <col min="11" max="11" width="9.109375" customWidth="1"/>
    <col min="12" max="17" width="0" hidden="1" customWidth="1"/>
    <col min="18" max="16384" width="9.109375" hidden="1"/>
  </cols>
  <sheetData>
    <row r="1" spans="1:11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1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x14ac:dyDescent="0.3">
      <c r="C4" s="96" t="s">
        <v>173</v>
      </c>
      <c r="D4" s="97" t="e">
        <f>GETPIVOTDATA("VALOR DA NF COM IMPOSTO",$C$8)</f>
        <v>#N/A</v>
      </c>
    </row>
    <row r="6" spans="1:11" x14ac:dyDescent="0.3">
      <c r="C6" s="81" t="s">
        <v>31</v>
      </c>
      <c r="D6" t="s">
        <v>262</v>
      </c>
    </row>
    <row r="8" spans="1:11" x14ac:dyDescent="0.3">
      <c r="C8" s="81" t="s">
        <v>0</v>
      </c>
      <c r="D8" s="81" t="s">
        <v>1</v>
      </c>
      <c r="E8" s="81" t="s">
        <v>47</v>
      </c>
      <c r="F8" s="81" t="s">
        <v>4</v>
      </c>
      <c r="G8" s="81" t="s">
        <v>46</v>
      </c>
      <c r="H8" s="81" t="s">
        <v>49</v>
      </c>
      <c r="I8" s="81" t="s">
        <v>52</v>
      </c>
      <c r="J8" t="s">
        <v>174</v>
      </c>
    </row>
    <row r="9" spans="1:11" x14ac:dyDescent="0.3">
      <c r="C9" t="s">
        <v>262</v>
      </c>
      <c r="D9" t="s">
        <v>265</v>
      </c>
      <c r="E9" t="s">
        <v>265</v>
      </c>
      <c r="F9" t="s">
        <v>265</v>
      </c>
      <c r="G9" s="16" t="s">
        <v>262</v>
      </c>
      <c r="H9" s="1" t="s">
        <v>262</v>
      </c>
      <c r="I9" t="s">
        <v>253</v>
      </c>
      <c r="J9" s="154" t="e">
        <v>#N/A</v>
      </c>
    </row>
    <row r="10" spans="1:11" x14ac:dyDescent="0.3">
      <c r="C10" t="s">
        <v>261</v>
      </c>
      <c r="J10" s="154" t="e">
        <v>#N/A</v>
      </c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79" r:id="rId4" name="Button 39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5" name="Button 40">
              <controlPr defaultSize="0" print="0" autoFill="0" autoPict="0" macro="[0]!IR_DIN_LAN_FATU">
                <anchor>
                  <from>
                    <xdr:col>2</xdr:col>
                    <xdr:colOff>1021080</xdr:colOff>
                    <xdr:row>0</xdr:row>
                    <xdr:rowOff>7620</xdr:rowOff>
                  </from>
                  <to>
                    <xdr:col>3</xdr:col>
                    <xdr:colOff>617220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6" name="Button 41">
              <controlPr defaultSize="0" print="0" autoFill="0" autoPict="0" macro="[0]!IR_DIN_LAN_OP">
                <anchor>
                  <from>
                    <xdr:col>3</xdr:col>
                    <xdr:colOff>678180</xdr:colOff>
                    <xdr:row>0</xdr:row>
                    <xdr:rowOff>7620</xdr:rowOff>
                  </from>
                  <to>
                    <xdr:col>4</xdr:col>
                    <xdr:colOff>335280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7" name="Button 42">
              <controlPr defaultSize="0" print="0" autoFill="0" autoPict="0" macro="[0]!IR_DIN_LAN_COMPRA">
                <anchor>
                  <from>
                    <xdr:col>4</xdr:col>
                    <xdr:colOff>396240</xdr:colOff>
                    <xdr:row>0</xdr:row>
                    <xdr:rowOff>7620</xdr:rowOff>
                  </from>
                  <to>
                    <xdr:col>4</xdr:col>
                    <xdr:colOff>1356360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8" name="Button 43">
              <controlPr defaultSize="0" print="0" autoFill="0" autoPict="0" macro="[0]!IR_DIN_LAN_DESP">
                <anchor>
                  <from>
                    <xdr:col>4</xdr:col>
                    <xdr:colOff>1417320</xdr:colOff>
                    <xdr:row>0</xdr:row>
                    <xdr:rowOff>7620</xdr:rowOff>
                  </from>
                  <to>
                    <xdr:col>5</xdr:col>
                    <xdr:colOff>213360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9" name="Button 44">
              <controlPr defaultSize="0" print="0" autoFill="0" autoPict="0" macro="[0]!IR_DIN_LAN_DESL">
                <anchor>
                  <from>
                    <xdr:col>5</xdr:col>
                    <xdr:colOff>274320</xdr:colOff>
                    <xdr:row>0</xdr:row>
                    <xdr:rowOff>7620</xdr:rowOff>
                  </from>
                  <to>
                    <xdr:col>6</xdr:col>
                    <xdr:colOff>99060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10" name="Button 45">
              <controlPr defaultSize="0" print="0" autoFill="0" autoPict="0" macro="[0]!IR_DIN_LAN_HORAS">
                <anchor>
                  <from>
                    <xdr:col>6</xdr:col>
                    <xdr:colOff>160020</xdr:colOff>
                    <xdr:row>0</xdr:row>
                    <xdr:rowOff>7620</xdr:rowOff>
                  </from>
                  <to>
                    <xdr:col>7</xdr:col>
                    <xdr:colOff>121920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11" name="Button 47">
              <controlPr defaultSize="0" print="0" autoFill="0" autoPict="0" macro="[0]!IR_DIN_LAN_FATU_EXTRA">
                <anchor>
                  <from>
                    <xdr:col>7</xdr:col>
                    <xdr:colOff>152400</xdr:colOff>
                    <xdr:row>0</xdr:row>
                    <xdr:rowOff>7620</xdr:rowOff>
                  </from>
                  <to>
                    <xdr:col>8</xdr:col>
                    <xdr:colOff>76200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12" name="Button 48">
              <controlPr defaultSize="0" autoFill="0" autoPict="0" macro="[0]!IR_DIN_LAN_ORC">
                <anchor>
                  <from>
                    <xdr:col>8</xdr:col>
                    <xdr:colOff>121920</xdr:colOff>
                    <xdr:row>0</xdr:row>
                    <xdr:rowOff>7620</xdr:rowOff>
                  </from>
                  <to>
                    <xdr:col>8</xdr:col>
                    <xdr:colOff>1203960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13" name="Button 49">
              <controlPr defaultSize="0" autoFill="0" autoPict="0" macro="[0]!IR_RESUMO_FAT">
                <anchor>
                  <from>
                    <xdr:col>8</xdr:col>
                    <xdr:colOff>1242060</xdr:colOff>
                    <xdr:row>0</xdr:row>
                    <xdr:rowOff>0</xdr:rowOff>
                  </from>
                  <to>
                    <xdr:col>9</xdr:col>
                    <xdr:colOff>807720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14" name="Button 50">
              <controlPr defaultSize="0" autoFill="0" autoPict="0" macro="[0]!IR_DIN_AP">
                <anchor>
                  <from>
                    <xdr:col>9</xdr:col>
                    <xdr:colOff>861060</xdr:colOff>
                    <xdr:row>0</xdr:row>
                    <xdr:rowOff>0</xdr:rowOff>
                  </from>
                  <to>
                    <xdr:col>9</xdr:col>
                    <xdr:colOff>1943100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3">
    <tabColor theme="6" tint="0.79998168889431442"/>
  </sheetPr>
  <dimension ref="A1:L8"/>
  <sheetViews>
    <sheetView showGridLines="0" zoomScale="85" zoomScaleNormal="85" workbookViewId="0">
      <selection activeCell="E19" sqref="E19"/>
    </sheetView>
  </sheetViews>
  <sheetFormatPr defaultColWidth="0" defaultRowHeight="14.4" x14ac:dyDescent="0.3"/>
  <cols>
    <col min="1" max="1" width="15.6640625" customWidth="1"/>
    <col min="2" max="2" width="13.109375" customWidth="1"/>
    <col min="3" max="3" width="18.88671875" bestFit="1" customWidth="1"/>
    <col min="4" max="4" width="37.109375" bestFit="1" customWidth="1"/>
    <col min="5" max="5" width="15.5546875" bestFit="1" customWidth="1"/>
    <col min="6" max="7" width="21.5546875" bestFit="1" customWidth="1"/>
    <col min="8" max="8" width="16.5546875" bestFit="1" customWidth="1"/>
    <col min="9" max="9" width="15.6640625" bestFit="1" customWidth="1"/>
    <col min="10" max="10" width="15.88671875" bestFit="1" customWidth="1"/>
    <col min="11" max="11" width="17.109375" bestFit="1" customWidth="1"/>
    <col min="12" max="12" width="9.109375" customWidth="1"/>
    <col min="13" max="16384" width="9.109375" hidden="1"/>
  </cols>
  <sheetData>
    <row r="1" spans="1:11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1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x14ac:dyDescent="0.3">
      <c r="C4" s="96" t="s">
        <v>173</v>
      </c>
      <c r="D4" s="97">
        <f>GETPIVOTDATA("VALOR ",$C$6)</f>
        <v>0</v>
      </c>
    </row>
    <row r="6" spans="1:11" x14ac:dyDescent="0.3">
      <c r="C6" s="81" t="s">
        <v>34</v>
      </c>
      <c r="D6" s="81" t="s">
        <v>35</v>
      </c>
      <c r="E6" s="81" t="s">
        <v>0</v>
      </c>
      <c r="F6" s="81" t="s">
        <v>36</v>
      </c>
      <c r="G6" s="81" t="s">
        <v>37</v>
      </c>
      <c r="H6" s="81" t="s">
        <v>38</v>
      </c>
      <c r="I6" s="81" t="s">
        <v>40</v>
      </c>
      <c r="J6" s="81" t="s">
        <v>42</v>
      </c>
      <c r="K6" s="3" t="s">
        <v>156</v>
      </c>
    </row>
    <row r="7" spans="1:11" x14ac:dyDescent="0.3">
      <c r="C7" t="s">
        <v>262</v>
      </c>
      <c r="D7" t="s">
        <v>262</v>
      </c>
      <c r="E7" t="s">
        <v>147</v>
      </c>
      <c r="F7" s="1" t="s">
        <v>262</v>
      </c>
      <c r="G7" s="1" t="s">
        <v>262</v>
      </c>
      <c r="H7" t="s">
        <v>262</v>
      </c>
      <c r="I7" t="s">
        <v>262</v>
      </c>
      <c r="J7" t="s">
        <v>253</v>
      </c>
      <c r="K7" s="154"/>
    </row>
    <row r="8" spans="1:11" x14ac:dyDescent="0.3">
      <c r="C8" t="s">
        <v>261</v>
      </c>
      <c r="K8" s="154"/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03" r:id="rId4" name="Button 39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937260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5" name="Button 40">
              <controlPr defaultSize="0" print="0" autoFill="0" autoPict="0" macro="[0]!IR_DIN_LAN_FATU">
                <anchor>
                  <from>
                    <xdr:col>2</xdr:col>
                    <xdr:colOff>998220</xdr:colOff>
                    <xdr:row>0</xdr:row>
                    <xdr:rowOff>7620</xdr:rowOff>
                  </from>
                  <to>
                    <xdr:col>3</xdr:col>
                    <xdr:colOff>579120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6" name="Button 41">
              <controlPr defaultSize="0" print="0" autoFill="0" autoPict="0" macro="[0]!IR_DIN_LAN_OP">
                <anchor>
                  <from>
                    <xdr:col>3</xdr:col>
                    <xdr:colOff>640080</xdr:colOff>
                    <xdr:row>0</xdr:row>
                    <xdr:rowOff>7620</xdr:rowOff>
                  </from>
                  <to>
                    <xdr:col>3</xdr:col>
                    <xdr:colOff>1577340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7" name="Button 42">
              <controlPr defaultSize="0" print="0" autoFill="0" autoPict="0" macro="[0]!IR_DIN_LAN_COMPRA">
                <anchor>
                  <from>
                    <xdr:col>3</xdr:col>
                    <xdr:colOff>1645920</xdr:colOff>
                    <xdr:row>0</xdr:row>
                    <xdr:rowOff>7620</xdr:rowOff>
                  </from>
                  <to>
                    <xdr:col>4</xdr:col>
                    <xdr:colOff>30480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8" name="Button 43">
              <controlPr defaultSize="0" print="0" autoFill="0" autoPict="0" macro="[0]!IR_DIN_LAN_DESP">
                <anchor>
                  <from>
                    <xdr:col>4</xdr:col>
                    <xdr:colOff>99060</xdr:colOff>
                    <xdr:row>0</xdr:row>
                    <xdr:rowOff>7620</xdr:rowOff>
                  </from>
                  <to>
                    <xdr:col>4</xdr:col>
                    <xdr:colOff>1036320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9" name="Button 44">
              <controlPr defaultSize="0" print="0" autoFill="0" autoPict="0" macro="[0]!IR_DIN_LAN_DESL">
                <anchor>
                  <from>
                    <xdr:col>5</xdr:col>
                    <xdr:colOff>30480</xdr:colOff>
                    <xdr:row>0</xdr:row>
                    <xdr:rowOff>7620</xdr:rowOff>
                  </from>
                  <to>
                    <xdr:col>5</xdr:col>
                    <xdr:colOff>967740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10" name="Button 45">
              <controlPr defaultSize="0" print="0" autoFill="0" autoPict="0" macro="[0]!IR_DIN_LAN_HORAS">
                <anchor>
                  <from>
                    <xdr:col>5</xdr:col>
                    <xdr:colOff>1028700</xdr:colOff>
                    <xdr:row>0</xdr:row>
                    <xdr:rowOff>7620</xdr:rowOff>
                  </from>
                  <to>
                    <xdr:col>6</xdr:col>
                    <xdr:colOff>487680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11" name="Button 47">
              <controlPr defaultSize="0" print="0" autoFill="0" autoPict="0" macro="[0]!IR_DIN_LAN_FATU_EXTRA">
                <anchor>
                  <from>
                    <xdr:col>6</xdr:col>
                    <xdr:colOff>518160</xdr:colOff>
                    <xdr:row>0</xdr:row>
                    <xdr:rowOff>15240</xdr:rowOff>
                  </from>
                  <to>
                    <xdr:col>7</xdr:col>
                    <xdr:colOff>99060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12" name="Button 48">
              <controlPr defaultSize="0" autoFill="0" autoPict="0" macro="[0]!IR_DIN_LAN_ORC">
                <anchor>
                  <from>
                    <xdr:col>7</xdr:col>
                    <xdr:colOff>144780</xdr:colOff>
                    <xdr:row>0</xdr:row>
                    <xdr:rowOff>15240</xdr:rowOff>
                  </from>
                  <to>
                    <xdr:col>8</xdr:col>
                    <xdr:colOff>68580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13" name="Button 49">
              <controlPr defaultSize="0" autoFill="0" autoPict="0" macro="[0]!IR_RESUMO_FAT">
                <anchor>
                  <from>
                    <xdr:col>8</xdr:col>
                    <xdr:colOff>99060</xdr:colOff>
                    <xdr:row>0</xdr:row>
                    <xdr:rowOff>7620</xdr:rowOff>
                  </from>
                  <to>
                    <xdr:col>9</xdr:col>
                    <xdr:colOff>91440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14" name="Button 50">
              <controlPr defaultSize="0" autoFill="0" autoPict="0" macro="[0]!IR_DIN_AP">
                <anchor>
                  <from>
                    <xdr:col>9</xdr:col>
                    <xdr:colOff>137160</xdr:colOff>
                    <xdr:row>0</xdr:row>
                    <xdr:rowOff>7620</xdr:rowOff>
                  </from>
                  <to>
                    <xdr:col>10</xdr:col>
                    <xdr:colOff>114300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0.79998168889431442"/>
  </sheetPr>
  <dimension ref="A1:N14"/>
  <sheetViews>
    <sheetView showGridLines="0" zoomScale="85" zoomScaleNormal="85" workbookViewId="0">
      <selection activeCell="D35" sqref="D35:E35"/>
    </sheetView>
  </sheetViews>
  <sheetFormatPr defaultColWidth="0" defaultRowHeight="14.4" x14ac:dyDescent="0.3"/>
  <cols>
    <col min="1" max="1" width="14.88671875" customWidth="1"/>
    <col min="2" max="2" width="14" customWidth="1"/>
    <col min="3" max="3" width="10.6640625" bestFit="1" customWidth="1"/>
    <col min="4" max="4" width="10.88671875" bestFit="1" customWidth="1"/>
    <col min="5" max="5" width="24.44140625" customWidth="1"/>
    <col min="6" max="6" width="18.5546875" customWidth="1"/>
    <col min="7" max="7" width="20.88671875" bestFit="1" customWidth="1"/>
    <col min="8" max="8" width="26.21875" bestFit="1" customWidth="1"/>
    <col min="9" max="9" width="25" bestFit="1" customWidth="1"/>
    <col min="10" max="10" width="18.88671875" bestFit="1" customWidth="1"/>
    <col min="11" max="11" width="18.5546875" bestFit="1" customWidth="1"/>
    <col min="12" max="12" width="30.33203125" bestFit="1" customWidth="1"/>
    <col min="13" max="13" width="29" bestFit="1" customWidth="1"/>
    <col min="14" max="14" width="9.109375" customWidth="1"/>
    <col min="15" max="16384" width="9.109375" hidden="1"/>
  </cols>
  <sheetData>
    <row r="1" spans="1:13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</row>
    <row r="4" spans="1:13" ht="15" customHeight="1" x14ac:dyDescent="0.3">
      <c r="C4" s="173" t="s">
        <v>165</v>
      </c>
      <c r="D4" s="174"/>
      <c r="E4" s="85" t="s">
        <v>166</v>
      </c>
    </row>
    <row r="5" spans="1:13" x14ac:dyDescent="0.3">
      <c r="C5" s="175" t="s">
        <v>167</v>
      </c>
      <c r="D5" s="176"/>
      <c r="E5" s="86" t="e">
        <f>GETPIVOTDATA("Soma de HORAS TR.MANHA",$C$15)</f>
        <v>#REF!</v>
      </c>
    </row>
    <row r="6" spans="1:13" x14ac:dyDescent="0.3">
      <c r="C6" s="175" t="s">
        <v>168</v>
      </c>
      <c r="D6" s="176"/>
      <c r="E6" s="86" t="e">
        <f>GETPIVOTDATA("Soma de HORAS TR.TARDE",$C$15)</f>
        <v>#REF!</v>
      </c>
    </row>
    <row r="7" spans="1:13" x14ac:dyDescent="0.3">
      <c r="C7" s="175" t="s">
        <v>169</v>
      </c>
      <c r="D7" s="176"/>
      <c r="E7" s="86" t="e">
        <f>GETPIVOTDATA("Soma de TOTAL H.N",$C$15)</f>
        <v>#REF!</v>
      </c>
    </row>
    <row r="8" spans="1:13" x14ac:dyDescent="0.3">
      <c r="C8" s="175" t="s">
        <v>170</v>
      </c>
      <c r="D8" s="176"/>
      <c r="E8" s="86" t="e">
        <f>GETPIVOTDATA("Soma de TOTAL H.E",$C$15)</f>
        <v>#REF!</v>
      </c>
    </row>
    <row r="9" spans="1:13" x14ac:dyDescent="0.3">
      <c r="C9" s="175" t="s">
        <v>171</v>
      </c>
      <c r="D9" s="176"/>
      <c r="E9" s="86" t="e">
        <f>E7+E8</f>
        <v>#REF!</v>
      </c>
    </row>
    <row r="10" spans="1:13" x14ac:dyDescent="0.3">
      <c r="C10" s="171" t="s">
        <v>172</v>
      </c>
      <c r="D10" s="172"/>
      <c r="E10" s="87">
        <f>GETPIVOTDATA("Soma de TOTAL GERAL NORMAL",$C$12)+GETPIVOTDATA("Soma de TOTAL GERAL EXTRAS",$C$12)</f>
        <v>0</v>
      </c>
    </row>
    <row r="12" spans="1:13" x14ac:dyDescent="0.3">
      <c r="C12" s="81" t="s">
        <v>0</v>
      </c>
      <c r="D12" s="81" t="s">
        <v>54</v>
      </c>
      <c r="E12" s="81" t="s">
        <v>31</v>
      </c>
      <c r="F12" s="81" t="s">
        <v>55</v>
      </c>
      <c r="G12" s="81" t="s">
        <v>78</v>
      </c>
      <c r="H12" t="s">
        <v>157</v>
      </c>
      <c r="I12" t="s">
        <v>158</v>
      </c>
      <c r="J12" t="s">
        <v>159</v>
      </c>
      <c r="K12" t="s">
        <v>160</v>
      </c>
      <c r="L12" t="s">
        <v>161</v>
      </c>
      <c r="M12" t="s">
        <v>162</v>
      </c>
    </row>
    <row r="13" spans="1:13" x14ac:dyDescent="0.3">
      <c r="C13" t="s">
        <v>262</v>
      </c>
      <c r="D13" s="1" t="s">
        <v>262</v>
      </c>
      <c r="E13" t="s">
        <v>262</v>
      </c>
      <c r="F13" t="s">
        <v>262</v>
      </c>
      <c r="G13" t="s">
        <v>163</v>
      </c>
      <c r="H13" s="84">
        <v>0</v>
      </c>
      <c r="I13" s="84">
        <v>0</v>
      </c>
      <c r="J13" s="84">
        <v>0</v>
      </c>
      <c r="K13" s="84">
        <v>0</v>
      </c>
      <c r="L13" s="154">
        <v>0</v>
      </c>
      <c r="M13" s="154">
        <v>0</v>
      </c>
    </row>
    <row r="14" spans="1:13" x14ac:dyDescent="0.3">
      <c r="C14" t="s">
        <v>261</v>
      </c>
      <c r="H14" s="84">
        <v>0</v>
      </c>
      <c r="I14" s="84">
        <v>0</v>
      </c>
      <c r="J14" s="84">
        <v>0</v>
      </c>
      <c r="K14" s="84">
        <v>0</v>
      </c>
      <c r="L14" s="154">
        <v>0</v>
      </c>
      <c r="M14" s="154">
        <v>0</v>
      </c>
    </row>
  </sheetData>
  <mergeCells count="7">
    <mergeCell ref="C10:D10"/>
    <mergeCell ref="C4:D4"/>
    <mergeCell ref="C5:D5"/>
    <mergeCell ref="C6:D6"/>
    <mergeCell ref="C7:D7"/>
    <mergeCell ref="C8:D8"/>
    <mergeCell ref="C9:D9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15" r:id="rId4" name="Button 2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3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5" name="Button 28">
              <controlPr defaultSize="0" print="0" autoFill="0" autoPict="0" macro="[0]!IR_DIN_LAN_FATU">
                <anchor>
                  <from>
                    <xdr:col>3</xdr:col>
                    <xdr:colOff>281940</xdr:colOff>
                    <xdr:row>0</xdr:row>
                    <xdr:rowOff>7620</xdr:rowOff>
                  </from>
                  <to>
                    <xdr:col>4</xdr:col>
                    <xdr:colOff>434340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IR_DIN_LAN_OP">
                <anchor>
                  <from>
                    <xdr:col>4</xdr:col>
                    <xdr:colOff>495300</xdr:colOff>
                    <xdr:row>0</xdr:row>
                    <xdr:rowOff>7620</xdr:rowOff>
                  </from>
                  <to>
                    <xdr:col>4</xdr:col>
                    <xdr:colOff>1455420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7" name="Button 30">
              <controlPr defaultSize="0" print="0" autoFill="0" autoPict="0" macro="[0]!IR_DIN_LAN_COMPRA">
                <anchor>
                  <from>
                    <xdr:col>4</xdr:col>
                    <xdr:colOff>1516380</xdr:colOff>
                    <xdr:row>0</xdr:row>
                    <xdr:rowOff>7620</xdr:rowOff>
                  </from>
                  <to>
                    <xdr:col>5</xdr:col>
                    <xdr:colOff>792480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8" name="Button 31">
              <controlPr defaultSize="0" print="0" autoFill="0" autoPict="0" macro="[0]!IR_DIN_LAN_DESP">
                <anchor>
                  <from>
                    <xdr:col>5</xdr:col>
                    <xdr:colOff>853440</xdr:colOff>
                    <xdr:row>0</xdr:row>
                    <xdr:rowOff>7620</xdr:rowOff>
                  </from>
                  <to>
                    <xdr:col>6</xdr:col>
                    <xdr:colOff>533400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9" name="Button 32">
              <controlPr defaultSize="0" print="0" autoFill="0" autoPict="0" macro="[0]!IR_DIN_LAN_DESL">
                <anchor>
                  <from>
                    <xdr:col>6</xdr:col>
                    <xdr:colOff>601980</xdr:colOff>
                    <xdr:row>0</xdr:row>
                    <xdr:rowOff>7620</xdr:rowOff>
                  </from>
                  <to>
                    <xdr:col>7</xdr:col>
                    <xdr:colOff>121920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10" name="Button 33">
              <controlPr defaultSize="0" print="0" autoFill="0" autoPict="0" macro="[0]!IR_DIN_LAN_HORAS">
                <anchor>
                  <from>
                    <xdr:col>7</xdr:col>
                    <xdr:colOff>182880</xdr:colOff>
                    <xdr:row>0</xdr:row>
                    <xdr:rowOff>7620</xdr:rowOff>
                  </from>
                  <to>
                    <xdr:col>7</xdr:col>
                    <xdr:colOff>1135380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11" name="Button 35">
              <controlPr defaultSize="0" print="0" autoFill="0" autoPict="0" macro="[0]!IR_DIN_LAN_FATU_EXTRA">
                <anchor>
                  <from>
                    <xdr:col>7</xdr:col>
                    <xdr:colOff>1203960</xdr:colOff>
                    <xdr:row>0</xdr:row>
                    <xdr:rowOff>7620</xdr:rowOff>
                  </from>
                  <to>
                    <xdr:col>8</xdr:col>
                    <xdr:colOff>472440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12" name="Button 36">
              <controlPr defaultSize="0" autoFill="0" autoPict="0" macro="[0]!IR_DIN_LAN_ORC">
                <anchor>
                  <from>
                    <xdr:col>8</xdr:col>
                    <xdr:colOff>518160</xdr:colOff>
                    <xdr:row>0</xdr:row>
                    <xdr:rowOff>7620</xdr:rowOff>
                  </from>
                  <to>
                    <xdr:col>8</xdr:col>
                    <xdr:colOff>1600200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13" name="Button 37">
              <controlPr defaultSize="0" autoFill="0" autoPict="0" macro="[0]!IR_RESUMO_FAT">
                <anchor>
                  <from>
                    <xdr:col>8</xdr:col>
                    <xdr:colOff>1638300</xdr:colOff>
                    <xdr:row>0</xdr:row>
                    <xdr:rowOff>0</xdr:rowOff>
                  </from>
                  <to>
                    <xdr:col>9</xdr:col>
                    <xdr:colOff>1013460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14" name="Button 38">
              <controlPr defaultSize="0" autoFill="0" autoPict="0" macro="[0]!IR_DIN_AP">
                <anchor>
                  <from>
                    <xdr:col>9</xdr:col>
                    <xdr:colOff>1059180</xdr:colOff>
                    <xdr:row>0</xdr:row>
                    <xdr:rowOff>0</xdr:rowOff>
                  </from>
                  <to>
                    <xdr:col>10</xdr:col>
                    <xdr:colOff>845820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5">
    <tabColor theme="6" tint="0.79998168889431442"/>
  </sheetPr>
  <dimension ref="A1:O8"/>
  <sheetViews>
    <sheetView showGridLines="0" zoomScale="85" zoomScaleNormal="85" workbookViewId="0">
      <selection activeCell="E18" sqref="E18"/>
    </sheetView>
  </sheetViews>
  <sheetFormatPr defaultColWidth="0" defaultRowHeight="14.4" x14ac:dyDescent="0.3"/>
  <cols>
    <col min="1" max="1" width="14.6640625" customWidth="1"/>
    <col min="2" max="2" width="14.88671875" customWidth="1"/>
    <col min="3" max="3" width="18.88671875" bestFit="1" customWidth="1"/>
    <col min="4" max="4" width="11.6640625" bestFit="1" customWidth="1"/>
    <col min="5" max="5" width="22.6640625" customWidth="1"/>
    <col min="6" max="6" width="9.44140625" bestFit="1" customWidth="1"/>
    <col min="7" max="7" width="34.6640625" customWidth="1"/>
    <col min="8" max="8" width="15.6640625" bestFit="1" customWidth="1"/>
    <col min="9" max="9" width="8" customWidth="1"/>
    <col min="10" max="10" width="11.88671875" bestFit="1" customWidth="1"/>
    <col min="11" max="11" width="16.33203125" customWidth="1"/>
    <col min="12" max="12" width="13.109375" bestFit="1" customWidth="1"/>
    <col min="13" max="13" width="7.44140625" bestFit="1" customWidth="1"/>
    <col min="14" max="14" width="18.109375" bestFit="1" customWidth="1"/>
    <col min="15" max="15" width="9.109375" customWidth="1"/>
    <col min="16" max="16384" width="9.109375" hidden="1"/>
  </cols>
  <sheetData>
    <row r="1" spans="1:14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4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</row>
    <row r="4" spans="1:14" x14ac:dyDescent="0.3">
      <c r="C4" s="15" t="s">
        <v>173</v>
      </c>
      <c r="D4" s="97">
        <f>GETPIVOTDATA("VALOR R$",$C$6)</f>
        <v>0</v>
      </c>
    </row>
    <row r="6" spans="1:14" x14ac:dyDescent="0.3">
      <c r="C6" s="81" t="s">
        <v>80</v>
      </c>
      <c r="D6" s="81" t="s">
        <v>54</v>
      </c>
      <c r="E6" s="81" t="s">
        <v>55</v>
      </c>
      <c r="F6" s="81" t="s">
        <v>81</v>
      </c>
      <c r="G6" s="81" t="s">
        <v>47</v>
      </c>
      <c r="H6" s="81" t="s">
        <v>82</v>
      </c>
      <c r="I6" s="81" t="s">
        <v>83</v>
      </c>
      <c r="J6" s="81" t="s">
        <v>84</v>
      </c>
      <c r="K6" s="81" t="s">
        <v>9</v>
      </c>
      <c r="L6" s="81" t="s">
        <v>85</v>
      </c>
      <c r="M6" s="81" t="s">
        <v>78</v>
      </c>
      <c r="N6" t="s">
        <v>164</v>
      </c>
    </row>
    <row r="7" spans="1:14" x14ac:dyDescent="0.3">
      <c r="C7" t="s">
        <v>147</v>
      </c>
      <c r="D7" t="s">
        <v>262</v>
      </c>
      <c r="E7" t="s">
        <v>147</v>
      </c>
      <c r="F7" t="s">
        <v>147</v>
      </c>
      <c r="G7" t="s">
        <v>147</v>
      </c>
      <c r="H7" t="s">
        <v>262</v>
      </c>
      <c r="I7" t="s">
        <v>262</v>
      </c>
      <c r="J7" t="s">
        <v>262</v>
      </c>
      <c r="K7" t="s">
        <v>147</v>
      </c>
      <c r="L7" t="s">
        <v>147</v>
      </c>
      <c r="M7" t="s">
        <v>147</v>
      </c>
      <c r="N7" s="154"/>
    </row>
    <row r="8" spans="1:14" x14ac:dyDescent="0.3">
      <c r="C8" t="s">
        <v>261</v>
      </c>
      <c r="N8" s="154"/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99" r:id="rId4" name="Button 8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952500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5" name="Button 88">
              <controlPr defaultSize="0" print="0" autoFill="0" autoPict="0" macro="[0]!IR_DIN_LAN_FATU">
                <anchor>
                  <from>
                    <xdr:col>2</xdr:col>
                    <xdr:colOff>1013460</xdr:colOff>
                    <xdr:row>0</xdr:row>
                    <xdr:rowOff>7620</xdr:rowOff>
                  </from>
                  <to>
                    <xdr:col>3</xdr:col>
                    <xdr:colOff>617220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6" name="Button 89">
              <controlPr defaultSize="0" print="0" autoFill="0" autoPict="0" macro="[0]!IR_DIN_LAN_OP">
                <anchor>
                  <from>
                    <xdr:col>3</xdr:col>
                    <xdr:colOff>678180</xdr:colOff>
                    <xdr:row>0</xdr:row>
                    <xdr:rowOff>7620</xdr:rowOff>
                  </from>
                  <to>
                    <xdr:col>4</xdr:col>
                    <xdr:colOff>830580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7" name="Button 90">
              <controlPr defaultSize="0" print="0" autoFill="0" autoPict="0" macro="[0]!IR_DIN_LAN_COMPRA">
                <anchor>
                  <from>
                    <xdr:col>4</xdr:col>
                    <xdr:colOff>891540</xdr:colOff>
                    <xdr:row>0</xdr:row>
                    <xdr:rowOff>7620</xdr:rowOff>
                  </from>
                  <to>
                    <xdr:col>5</xdr:col>
                    <xdr:colOff>297180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8" name="Button 91">
              <controlPr defaultSize="0" print="0" autoFill="0" autoPict="0" macro="[0]!IR_DIN_LAN_DESP">
                <anchor>
                  <from>
                    <xdr:col>5</xdr:col>
                    <xdr:colOff>358140</xdr:colOff>
                    <xdr:row>0</xdr:row>
                    <xdr:rowOff>7620</xdr:rowOff>
                  </from>
                  <to>
                    <xdr:col>6</xdr:col>
                    <xdr:colOff>670560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" name="Button 92">
              <controlPr defaultSize="0" print="0" autoFill="0" autoPict="0" macro="[0]!IR_DIN_LAN_DESL">
                <anchor>
                  <from>
                    <xdr:col>6</xdr:col>
                    <xdr:colOff>731520</xdr:colOff>
                    <xdr:row>0</xdr:row>
                    <xdr:rowOff>7620</xdr:rowOff>
                  </from>
                  <to>
                    <xdr:col>6</xdr:col>
                    <xdr:colOff>1684020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10" name="Button 93">
              <controlPr defaultSize="0" print="0" autoFill="0" autoPict="0" macro="[0]!IR_DIN_LAN_HORAS">
                <anchor>
                  <from>
                    <xdr:col>6</xdr:col>
                    <xdr:colOff>1744980</xdr:colOff>
                    <xdr:row>0</xdr:row>
                    <xdr:rowOff>7620</xdr:rowOff>
                  </from>
                  <to>
                    <xdr:col>7</xdr:col>
                    <xdr:colOff>327660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11" name="Button 95">
              <controlPr defaultSize="0" print="0" autoFill="0" autoPict="0" macro="[0]!IR_DIN_LAN_FATU_EXTRA">
                <anchor>
                  <from>
                    <xdr:col>7</xdr:col>
                    <xdr:colOff>396240</xdr:colOff>
                    <xdr:row>0</xdr:row>
                    <xdr:rowOff>7620</xdr:rowOff>
                  </from>
                  <to>
                    <xdr:col>8</xdr:col>
                    <xdr:colOff>388620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12" name="Button 96">
              <controlPr defaultSize="0" autoFill="0" autoPict="0" macro="[0]!IR_DIN_LAN_ORC">
                <anchor>
                  <from>
                    <xdr:col>8</xdr:col>
                    <xdr:colOff>434340</xdr:colOff>
                    <xdr:row>0</xdr:row>
                    <xdr:rowOff>7620</xdr:rowOff>
                  </from>
                  <to>
                    <xdr:col>10</xdr:col>
                    <xdr:colOff>152400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3" name="Button 97">
              <controlPr defaultSize="0" autoFill="0" autoPict="0" macro="[0]!IR_RESUMO_FAT">
                <anchor>
                  <from>
                    <xdr:col>10</xdr:col>
                    <xdr:colOff>190500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4" name="Button 98">
              <controlPr defaultSize="0" autoFill="0" autoPict="0" macro="[0]!IR_DIN_AP">
                <anchor>
                  <from>
                    <xdr:col>11</xdr:col>
                    <xdr:colOff>205740</xdr:colOff>
                    <xdr:row>0</xdr:row>
                    <xdr:rowOff>0</xdr:rowOff>
                  </from>
                  <to>
                    <xdr:col>12</xdr:col>
                    <xdr:colOff>388620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7">
    <tabColor theme="6" tint="0.79998168889431442"/>
  </sheetPr>
  <dimension ref="A1:O13"/>
  <sheetViews>
    <sheetView showGridLines="0" zoomScale="85" zoomScaleNormal="85" workbookViewId="0">
      <selection activeCell="D36" sqref="D36"/>
    </sheetView>
  </sheetViews>
  <sheetFormatPr defaultColWidth="0" defaultRowHeight="14.4" x14ac:dyDescent="0.3"/>
  <cols>
    <col min="1" max="1" width="15" customWidth="1"/>
    <col min="2" max="2" width="14.6640625" customWidth="1"/>
    <col min="3" max="3" width="15.88671875" customWidth="1"/>
    <col min="4" max="4" width="12.88671875" customWidth="1"/>
    <col min="5" max="5" width="16.33203125" bestFit="1" customWidth="1"/>
    <col min="6" max="6" width="20" customWidth="1"/>
    <col min="7" max="7" width="16.5546875" bestFit="1" customWidth="1"/>
    <col min="8" max="8" width="17.109375" bestFit="1" customWidth="1"/>
    <col min="9" max="9" width="16.33203125" customWidth="1"/>
    <col min="10" max="10" width="16.44140625" customWidth="1"/>
    <col min="11" max="11" width="21.88671875" bestFit="1" customWidth="1"/>
    <col min="12" max="12" width="20.88671875" bestFit="1" customWidth="1"/>
    <col min="13" max="13" width="18.109375" bestFit="1" customWidth="1"/>
    <col min="14" max="15" width="9.109375" customWidth="1"/>
    <col min="16" max="16384" width="9.109375" hidden="1"/>
  </cols>
  <sheetData>
    <row r="1" spans="1:14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4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</row>
    <row r="9" spans="1:14" x14ac:dyDescent="0.3">
      <c r="C9" s="15" t="s">
        <v>173</v>
      </c>
      <c r="D9" s="97">
        <f>GETPIVOTDATA("VALOR R$",$C$11)</f>
        <v>0</v>
      </c>
    </row>
    <row r="11" spans="1:14" ht="14.25" customHeight="1" x14ac:dyDescent="0.3">
      <c r="C11" s="81" t="s">
        <v>80</v>
      </c>
      <c r="D11" s="81" t="s">
        <v>54</v>
      </c>
      <c r="E11" s="81" t="s">
        <v>55</v>
      </c>
      <c r="F11" s="81" t="s">
        <v>35</v>
      </c>
      <c r="G11" s="81" t="s">
        <v>47</v>
      </c>
      <c r="H11" s="81" t="s">
        <v>56</v>
      </c>
      <c r="I11" s="81" t="s">
        <v>9</v>
      </c>
      <c r="J11" s="81" t="s">
        <v>127</v>
      </c>
      <c r="K11" s="81" t="s">
        <v>128</v>
      </c>
      <c r="L11" s="81" t="s">
        <v>78</v>
      </c>
      <c r="M11" t="s">
        <v>164</v>
      </c>
    </row>
    <row r="12" spans="1:14" x14ac:dyDescent="0.3">
      <c r="C12" t="s">
        <v>262</v>
      </c>
      <c r="D12" s="17" t="s">
        <v>262</v>
      </c>
      <c r="E12" t="s">
        <v>262</v>
      </c>
      <c r="F12" t="s">
        <v>262</v>
      </c>
      <c r="G12" t="s">
        <v>262</v>
      </c>
      <c r="H12" t="s">
        <v>262</v>
      </c>
      <c r="I12" t="s">
        <v>147</v>
      </c>
      <c r="J12" t="s">
        <v>262</v>
      </c>
      <c r="K12" t="s">
        <v>147</v>
      </c>
      <c r="L12" t="s">
        <v>163</v>
      </c>
      <c r="M12" s="154"/>
    </row>
    <row r="13" spans="1:14" x14ac:dyDescent="0.3">
      <c r="C13" t="s">
        <v>261</v>
      </c>
      <c r="M13" s="154"/>
    </row>
  </sheetData>
  <pageMargins left="0.31496062992125984" right="0.31496062992125984" top="0.39370078740157483" bottom="0.39370078740157483" header="0.31496062992125984" footer="0.31496062992125984"/>
  <pageSetup paperSize="9" scale="74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63" r:id="rId5" name="Button 2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944880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6" name="Button 28">
              <controlPr defaultSize="0" print="0" autoFill="0" autoPict="0" macro="[0]!IR_DIN_LAN_FATU">
                <anchor>
                  <from>
                    <xdr:col>2</xdr:col>
                    <xdr:colOff>1005840</xdr:colOff>
                    <xdr:row>0</xdr:row>
                    <xdr:rowOff>7620</xdr:rowOff>
                  </from>
                  <to>
                    <xdr:col>3</xdr:col>
                    <xdr:colOff>807720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7" name="Button 29">
              <controlPr defaultSize="0" print="0" autoFill="0" autoPict="0" macro="[0]!IR_DIN_LAN_OP">
                <anchor>
                  <from>
                    <xdr:col>3</xdr:col>
                    <xdr:colOff>868680</xdr:colOff>
                    <xdr:row>0</xdr:row>
                    <xdr:rowOff>7620</xdr:rowOff>
                  </from>
                  <to>
                    <xdr:col>4</xdr:col>
                    <xdr:colOff>929640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8" name="Button 30">
              <controlPr defaultSize="0" print="0" autoFill="0" autoPict="0" macro="[0]!IR_DIN_LAN_COMPRA">
                <anchor>
                  <from>
                    <xdr:col>4</xdr:col>
                    <xdr:colOff>990600</xdr:colOff>
                    <xdr:row>0</xdr:row>
                    <xdr:rowOff>7620</xdr:rowOff>
                  </from>
                  <to>
                    <xdr:col>5</xdr:col>
                    <xdr:colOff>815340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9" name="Button 31">
              <controlPr defaultSize="0" print="0" autoFill="0" autoPict="0" macro="[0]!IR_DIN_LAN_DESP">
                <anchor>
                  <from>
                    <xdr:col>5</xdr:col>
                    <xdr:colOff>876300</xdr:colOff>
                    <xdr:row>0</xdr:row>
                    <xdr:rowOff>7620</xdr:rowOff>
                  </from>
                  <to>
                    <xdr:col>6</xdr:col>
                    <xdr:colOff>457200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10" name="Button 32">
              <controlPr defaultSize="0" print="0" autoFill="0" autoPict="0" macro="[0]!IR_DIN_LAN_DESL">
                <anchor>
                  <from>
                    <xdr:col>6</xdr:col>
                    <xdr:colOff>518160</xdr:colOff>
                    <xdr:row>0</xdr:row>
                    <xdr:rowOff>7620</xdr:rowOff>
                  </from>
                  <to>
                    <xdr:col>7</xdr:col>
                    <xdr:colOff>327660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11" name="Button 33">
              <controlPr defaultSize="0" print="0" autoFill="0" autoPict="0" macro="[0]!IR_DIN_LAN_HORAS">
                <anchor>
                  <from>
                    <xdr:col>7</xdr:col>
                    <xdr:colOff>388620</xdr:colOff>
                    <xdr:row>0</xdr:row>
                    <xdr:rowOff>7620</xdr:rowOff>
                  </from>
                  <to>
                    <xdr:col>8</xdr:col>
                    <xdr:colOff>160020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12" name="Button 35">
              <controlPr defaultSize="0" print="0" autoFill="0" autoPict="0" macro="[0]!IR_DIN_LAN_FATU_EXTRA">
                <anchor>
                  <from>
                    <xdr:col>8</xdr:col>
                    <xdr:colOff>220980</xdr:colOff>
                    <xdr:row>0</xdr:row>
                    <xdr:rowOff>7620</xdr:rowOff>
                  </from>
                  <to>
                    <xdr:col>9</xdr:col>
                    <xdr:colOff>167640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13" name="Button 36">
              <controlPr defaultSize="0" autoFill="0" autoPict="0" macro="[0]!IR_DIN_LAN_ORC">
                <anchor>
                  <from>
                    <xdr:col>9</xdr:col>
                    <xdr:colOff>213360</xdr:colOff>
                    <xdr:row>0</xdr:row>
                    <xdr:rowOff>7620</xdr:rowOff>
                  </from>
                  <to>
                    <xdr:col>10</xdr:col>
                    <xdr:colOff>152400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14" name="Button 37">
              <controlPr defaultSize="0" autoFill="0" autoPict="0" macro="[0]!IR_RESUMO_FAT">
                <anchor>
                  <from>
                    <xdr:col>10</xdr:col>
                    <xdr:colOff>190500</xdr:colOff>
                    <xdr:row>0</xdr:row>
                    <xdr:rowOff>0</xdr:rowOff>
                  </from>
                  <to>
                    <xdr:col>10</xdr:col>
                    <xdr:colOff>1264920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15" name="Button 38">
              <controlPr defaultSize="0" autoFill="0" autoPict="0" macro="[0]!IR_DIN_AP">
                <anchor>
                  <from>
                    <xdr:col>10</xdr:col>
                    <xdr:colOff>1318260</xdr:colOff>
                    <xdr:row>0</xdr:row>
                    <xdr:rowOff>0</xdr:rowOff>
                  </from>
                  <to>
                    <xdr:col>11</xdr:col>
                    <xdr:colOff>899160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6">
    <tabColor theme="6" tint="0.79998168889431442"/>
  </sheetPr>
  <dimension ref="A1:R13"/>
  <sheetViews>
    <sheetView showGridLines="0" zoomScale="85" zoomScaleNormal="85" workbookViewId="0">
      <selection activeCell="D18" sqref="D18"/>
    </sheetView>
  </sheetViews>
  <sheetFormatPr defaultColWidth="0" defaultRowHeight="14.4" x14ac:dyDescent="0.3"/>
  <cols>
    <col min="1" max="1" width="15.44140625" customWidth="1"/>
    <col min="2" max="2" width="14" customWidth="1"/>
    <col min="3" max="3" width="10.6640625" bestFit="1" customWidth="1"/>
    <col min="4" max="4" width="23.33203125" customWidth="1"/>
    <col min="5" max="5" width="18.88671875" bestFit="1" customWidth="1"/>
    <col min="6" max="6" width="19.33203125" bestFit="1" customWidth="1"/>
    <col min="7" max="7" width="55" bestFit="1" customWidth="1"/>
    <col min="8" max="8" width="7.5546875" bestFit="1" customWidth="1"/>
    <col min="9" max="9" width="13.5546875" bestFit="1" customWidth="1"/>
    <col min="10" max="10" width="19.88671875" bestFit="1" customWidth="1"/>
    <col min="11" max="11" width="23.109375" bestFit="1" customWidth="1"/>
    <col min="12" max="12" width="25.88671875" customWidth="1"/>
    <col min="13" max="13" width="47" bestFit="1" customWidth="1"/>
    <col min="14" max="14" width="32.44140625" bestFit="1" customWidth="1"/>
    <col min="15" max="15" width="34.109375" bestFit="1" customWidth="1"/>
    <col min="16" max="16" width="32.109375" customWidth="1"/>
    <col min="17" max="17" width="33.88671875" customWidth="1"/>
    <col min="18" max="18" width="9.109375" customWidth="1"/>
    <col min="19" max="16384" width="9.109375" hidden="1"/>
  </cols>
  <sheetData>
    <row r="1" spans="1:17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17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</row>
    <row r="4" spans="1:17" x14ac:dyDescent="0.3">
      <c r="C4" s="82" t="s">
        <v>151</v>
      </c>
      <c r="E4" s="4">
        <f>GETPIVOTDATA("Soma de VALOR FATURADO",$C$11)</f>
        <v>0</v>
      </c>
    </row>
    <row r="5" spans="1:17" x14ac:dyDescent="0.3">
      <c r="C5" s="82" t="s">
        <v>152</v>
      </c>
      <c r="E5" s="4">
        <f>GETPIVOTDATA("Soma de TOTAL CUSTO (O.C + DI + MT + MO+DESP)",$C$11)</f>
        <v>0</v>
      </c>
    </row>
    <row r="6" spans="1:17" x14ac:dyDescent="0.3">
      <c r="C6" s="82" t="s">
        <v>153</v>
      </c>
      <c r="E6" s="4">
        <f>E4-E5</f>
        <v>0</v>
      </c>
    </row>
    <row r="7" spans="1:17" x14ac:dyDescent="0.3">
      <c r="C7" s="82" t="s">
        <v>154</v>
      </c>
      <c r="E7" s="11" t="e">
        <f>E6/E4</f>
        <v>#DIV/0!</v>
      </c>
    </row>
    <row r="9" spans="1:17" x14ac:dyDescent="0.3">
      <c r="C9" s="81" t="s">
        <v>31</v>
      </c>
      <c r="D9" t="s">
        <v>262</v>
      </c>
    </row>
    <row r="11" spans="1:17" x14ac:dyDescent="0.3">
      <c r="C11" s="81" t="s">
        <v>0</v>
      </c>
      <c r="D11" s="81" t="s">
        <v>1</v>
      </c>
      <c r="E11" s="81" t="s">
        <v>2</v>
      </c>
      <c r="F11" s="81" t="s">
        <v>3</v>
      </c>
      <c r="G11" s="81" t="s">
        <v>4</v>
      </c>
      <c r="H11" s="83" t="s">
        <v>5</v>
      </c>
      <c r="I11" s="81" t="s">
        <v>24</v>
      </c>
      <c r="J11" s="81" t="s">
        <v>10</v>
      </c>
      <c r="K11" s="81" t="s">
        <v>11</v>
      </c>
      <c r="L11" t="s">
        <v>148</v>
      </c>
      <c r="M11" t="s">
        <v>155</v>
      </c>
      <c r="N11" t="s">
        <v>149</v>
      </c>
      <c r="O11" t="s">
        <v>150</v>
      </c>
    </row>
    <row r="12" spans="1:17" x14ac:dyDescent="0.3">
      <c r="C12" t="s">
        <v>262</v>
      </c>
      <c r="D12" t="s">
        <v>262</v>
      </c>
      <c r="E12" t="s">
        <v>262</v>
      </c>
      <c r="F12" t="s">
        <v>262</v>
      </c>
      <c r="G12" t="s">
        <v>262</v>
      </c>
      <c r="H12" s="154" t="s">
        <v>147</v>
      </c>
      <c r="I12" t="s">
        <v>147</v>
      </c>
      <c r="J12" t="s">
        <v>147</v>
      </c>
      <c r="K12" t="s">
        <v>147</v>
      </c>
      <c r="L12" s="208">
        <v>0</v>
      </c>
      <c r="M12" s="208">
        <v>0</v>
      </c>
      <c r="N12" s="208">
        <v>0</v>
      </c>
      <c r="O12" s="208">
        <v>0</v>
      </c>
    </row>
    <row r="13" spans="1:17" x14ac:dyDescent="0.3">
      <c r="C13" t="s">
        <v>261</v>
      </c>
      <c r="L13" s="208">
        <v>0</v>
      </c>
      <c r="M13" s="208">
        <v>0</v>
      </c>
      <c r="N13" s="208">
        <v>0</v>
      </c>
      <c r="O13" s="208">
        <v>0</v>
      </c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35" r:id="rId4" name="Button 2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3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5" name="Button 28">
              <controlPr defaultSize="0" print="0" autoFill="0" autoPict="0" macro="[0]!IR_DIN_LAN_FATU">
                <anchor>
                  <from>
                    <xdr:col>3</xdr:col>
                    <xdr:colOff>281940</xdr:colOff>
                    <xdr:row>0</xdr:row>
                    <xdr:rowOff>7620</xdr:rowOff>
                  </from>
                  <to>
                    <xdr:col>3</xdr:col>
                    <xdr:colOff>1181100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6" name="Button 29">
              <controlPr defaultSize="0" print="0" autoFill="0" autoPict="0" macro="[0]!IR_DIN_LAN_OP">
                <anchor>
                  <from>
                    <xdr:col>3</xdr:col>
                    <xdr:colOff>1249680</xdr:colOff>
                    <xdr:row>0</xdr:row>
                    <xdr:rowOff>7620</xdr:rowOff>
                  </from>
                  <to>
                    <xdr:col>4</xdr:col>
                    <xdr:colOff>601980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7" name="Button 30">
              <controlPr defaultSize="0" print="0" autoFill="0" autoPict="0" macro="[0]!IR_DIN_LAN_COMPRA">
                <anchor>
                  <from>
                    <xdr:col>4</xdr:col>
                    <xdr:colOff>662940</xdr:colOff>
                    <xdr:row>0</xdr:row>
                    <xdr:rowOff>7620</xdr:rowOff>
                  </from>
                  <to>
                    <xdr:col>5</xdr:col>
                    <xdr:colOff>320040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8" name="Button 31">
              <controlPr defaultSize="0" print="0" autoFill="0" autoPict="0" macro="[0]!IR_DIN_LAN_DESP">
                <anchor>
                  <from>
                    <xdr:col>5</xdr:col>
                    <xdr:colOff>381000</xdr:colOff>
                    <xdr:row>0</xdr:row>
                    <xdr:rowOff>7620</xdr:rowOff>
                  </from>
                  <to>
                    <xdr:col>6</xdr:col>
                    <xdr:colOff>7620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9" name="Button 32">
              <controlPr defaultSize="0" print="0" autoFill="0" autoPict="0" macro="[0]!IR_DIN_LAN_DESL">
                <anchor>
                  <from>
                    <xdr:col>6</xdr:col>
                    <xdr:colOff>76200</xdr:colOff>
                    <xdr:row>0</xdr:row>
                    <xdr:rowOff>7620</xdr:rowOff>
                  </from>
                  <to>
                    <xdr:col>6</xdr:col>
                    <xdr:colOff>1028700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10" name="Button 33">
              <controlPr defaultSize="0" print="0" autoFill="0" autoPict="0" macro="[0]!IR_DIN_LAN_HORAS">
                <anchor>
                  <from>
                    <xdr:col>6</xdr:col>
                    <xdr:colOff>1089660</xdr:colOff>
                    <xdr:row>0</xdr:row>
                    <xdr:rowOff>7620</xdr:rowOff>
                  </from>
                  <to>
                    <xdr:col>6</xdr:col>
                    <xdr:colOff>2049780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11" name="Button 34">
              <controlPr defaultSize="0" print="0" autoFill="0" autoPict="0" macro="[0]!IR_DIN_LAN_OP_EXTRA">
                <anchor>
                  <from>
                    <xdr:col>6</xdr:col>
                    <xdr:colOff>2110740</xdr:colOff>
                    <xdr:row>0</xdr:row>
                    <xdr:rowOff>7620</xdr:rowOff>
                  </from>
                  <to>
                    <xdr:col>6</xdr:col>
                    <xdr:colOff>3070860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12" name="Button 35">
              <controlPr defaultSize="0" print="0" autoFill="0" autoPict="0" macro="[0]!IR_DIN_LAN_FATU_EXTRA">
                <anchor>
                  <from>
                    <xdr:col>6</xdr:col>
                    <xdr:colOff>3131820</xdr:colOff>
                    <xdr:row>0</xdr:row>
                    <xdr:rowOff>7620</xdr:rowOff>
                  </from>
                  <to>
                    <xdr:col>7</xdr:col>
                    <xdr:colOff>434340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13" name="Button 36">
              <controlPr defaultSize="0" autoFill="0" autoPict="0" macro="[0]!IR_DIN_LAN_ORC">
                <anchor>
                  <from>
                    <xdr:col>7</xdr:col>
                    <xdr:colOff>480060</xdr:colOff>
                    <xdr:row>0</xdr:row>
                    <xdr:rowOff>7620</xdr:rowOff>
                  </from>
                  <to>
                    <xdr:col>9</xdr:col>
                    <xdr:colOff>106680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14" name="Button 37">
              <controlPr defaultSize="0" autoFill="0" autoPict="0" macro="[0]!IR_RESUMO_FAT">
                <anchor>
                  <from>
                    <xdr:col>9</xdr:col>
                    <xdr:colOff>144780</xdr:colOff>
                    <xdr:row>0</xdr:row>
                    <xdr:rowOff>0</xdr:rowOff>
                  </from>
                  <to>
                    <xdr:col>9</xdr:col>
                    <xdr:colOff>1234440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15" name="Button 38">
              <controlPr defaultSize="0" autoFill="0" autoPict="0" macro="[0]!IR_DIN_AP">
                <anchor>
                  <from>
                    <xdr:col>9</xdr:col>
                    <xdr:colOff>1280160</xdr:colOff>
                    <xdr:row>0</xdr:row>
                    <xdr:rowOff>0</xdr:rowOff>
                  </from>
                  <to>
                    <xdr:col>10</xdr:col>
                    <xdr:colOff>1005840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9">
    <tabColor theme="6" tint="0.79998168889431442"/>
  </sheetPr>
  <dimension ref="A1:Q10"/>
  <sheetViews>
    <sheetView showGridLines="0" zoomScale="85" zoomScaleNormal="85" workbookViewId="0">
      <selection activeCell="C29" sqref="C29"/>
    </sheetView>
  </sheetViews>
  <sheetFormatPr defaultColWidth="0" defaultRowHeight="14.4" x14ac:dyDescent="0.3"/>
  <cols>
    <col min="1" max="1" width="14.6640625" customWidth="1"/>
    <col min="2" max="2" width="15" customWidth="1"/>
    <col min="3" max="4" width="18.88671875" bestFit="1" customWidth="1"/>
    <col min="5" max="5" width="36" bestFit="1" customWidth="1"/>
    <col min="6" max="6" width="16.44140625" bestFit="1" customWidth="1"/>
    <col min="7" max="7" width="14.44140625" bestFit="1" customWidth="1"/>
    <col min="8" max="8" width="16.88671875" bestFit="1" customWidth="1"/>
    <col min="9" max="9" width="21.6640625" customWidth="1"/>
    <col min="10" max="10" width="15.6640625" bestFit="1" customWidth="1"/>
    <col min="11" max="11" width="35.77734375" bestFit="1" customWidth="1"/>
    <col min="12" max="12" width="9.109375" customWidth="1"/>
    <col min="13" max="17" width="0" hidden="1" customWidth="1"/>
    <col min="18" max="16384" width="9.109375" hidden="1"/>
  </cols>
  <sheetData>
    <row r="1" spans="1:11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</row>
    <row r="2" spans="1:11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x14ac:dyDescent="0.3">
      <c r="C4" s="96" t="s">
        <v>173</v>
      </c>
      <c r="D4" s="97" t="e">
        <f>GETPIVOTDATA("VALOR DA NF COM IMPOSTO",$C$8)</f>
        <v>#N/A</v>
      </c>
    </row>
    <row r="6" spans="1:11" x14ac:dyDescent="0.3">
      <c r="C6" s="81" t="s">
        <v>31</v>
      </c>
      <c r="D6" t="s">
        <v>262</v>
      </c>
    </row>
    <row r="8" spans="1:11" x14ac:dyDescent="0.3">
      <c r="C8" s="81" t="s">
        <v>0</v>
      </c>
      <c r="D8" s="81" t="s">
        <v>1</v>
      </c>
      <c r="E8" s="81" t="s">
        <v>47</v>
      </c>
      <c r="F8" s="81" t="s">
        <v>4</v>
      </c>
      <c r="G8" s="81" t="s">
        <v>46</v>
      </c>
      <c r="H8" s="81" t="s">
        <v>49</v>
      </c>
      <c r="I8" s="81" t="s">
        <v>52</v>
      </c>
      <c r="J8" s="81" t="s">
        <v>41</v>
      </c>
      <c r="K8" t="s">
        <v>174</v>
      </c>
    </row>
    <row r="9" spans="1:11" x14ac:dyDescent="0.3">
      <c r="C9" t="s">
        <v>262</v>
      </c>
      <c r="D9" t="s">
        <v>265</v>
      </c>
      <c r="E9" t="s">
        <v>265</v>
      </c>
      <c r="F9" t="s">
        <v>265</v>
      </c>
      <c r="G9" t="s">
        <v>262</v>
      </c>
      <c r="H9" s="1" t="s">
        <v>262</v>
      </c>
      <c r="I9" t="s">
        <v>253</v>
      </c>
      <c r="J9" t="s">
        <v>262</v>
      </c>
      <c r="K9" s="154" t="e">
        <v>#N/A</v>
      </c>
    </row>
    <row r="10" spans="1:11" x14ac:dyDescent="0.3">
      <c r="C10" t="s">
        <v>261</v>
      </c>
      <c r="K10" s="154" t="e">
        <v>#N/A</v>
      </c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59" r:id="rId4" name="Button 27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2</xdr:col>
                    <xdr:colOff>960120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5" name="Button 28">
              <controlPr defaultSize="0" print="0" autoFill="0" autoPict="0" macro="[0]!IR_DIN_LAN_FATU">
                <anchor>
                  <from>
                    <xdr:col>2</xdr:col>
                    <xdr:colOff>1021080</xdr:colOff>
                    <xdr:row>0</xdr:row>
                    <xdr:rowOff>7620</xdr:rowOff>
                  </from>
                  <to>
                    <xdr:col>3</xdr:col>
                    <xdr:colOff>624840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6" name="Button 29">
              <controlPr defaultSize="0" print="0" autoFill="0" autoPict="0" macro="[0]!IR_DIN_LAN_OP">
                <anchor>
                  <from>
                    <xdr:col>3</xdr:col>
                    <xdr:colOff>685800</xdr:colOff>
                    <xdr:row>0</xdr:row>
                    <xdr:rowOff>7620</xdr:rowOff>
                  </from>
                  <to>
                    <xdr:col>4</xdr:col>
                    <xdr:colOff>342900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7" name="Button 30">
              <controlPr defaultSize="0" print="0" autoFill="0" autoPict="0" macro="[0]!IR_DIN_LAN_COMPRA">
                <anchor>
                  <from>
                    <xdr:col>4</xdr:col>
                    <xdr:colOff>403860</xdr:colOff>
                    <xdr:row>0</xdr:row>
                    <xdr:rowOff>7620</xdr:rowOff>
                  </from>
                  <to>
                    <xdr:col>4</xdr:col>
                    <xdr:colOff>1363980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8" name="Button 31">
              <controlPr defaultSize="0" print="0" autoFill="0" autoPict="0" macro="[0]!IR_DIN_LAN_DESP">
                <anchor>
                  <from>
                    <xdr:col>4</xdr:col>
                    <xdr:colOff>1424940</xdr:colOff>
                    <xdr:row>0</xdr:row>
                    <xdr:rowOff>7620</xdr:rowOff>
                  </from>
                  <to>
                    <xdr:col>4</xdr:col>
                    <xdr:colOff>2385060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9" name="Button 32">
              <controlPr defaultSize="0" print="0" autoFill="0" autoPict="0" macro="[0]!IR_DIN_LAN_DESL">
                <anchor>
                  <from>
                    <xdr:col>4</xdr:col>
                    <xdr:colOff>2446020</xdr:colOff>
                    <xdr:row>0</xdr:row>
                    <xdr:rowOff>7620</xdr:rowOff>
                  </from>
                  <to>
                    <xdr:col>5</xdr:col>
                    <xdr:colOff>937260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10" name="Button 33">
              <controlPr defaultSize="0" print="0" autoFill="0" autoPict="0" macro="[0]!IR_DIN_LAN_HORAS">
                <anchor>
                  <from>
                    <xdr:col>5</xdr:col>
                    <xdr:colOff>998220</xdr:colOff>
                    <xdr:row>0</xdr:row>
                    <xdr:rowOff>7620</xdr:rowOff>
                  </from>
                  <to>
                    <xdr:col>6</xdr:col>
                    <xdr:colOff>830580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11" name="Button 35">
              <controlPr defaultSize="0" print="0" autoFill="0" autoPict="0" macro="[0]!IR_DIN_LAN_FATU_EXTRA">
                <anchor>
                  <from>
                    <xdr:col>6</xdr:col>
                    <xdr:colOff>861060</xdr:colOff>
                    <xdr:row>0</xdr:row>
                    <xdr:rowOff>7620</xdr:rowOff>
                  </from>
                  <to>
                    <xdr:col>7</xdr:col>
                    <xdr:colOff>944880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12" name="Button 36">
              <controlPr defaultSize="0" autoFill="0" autoPict="0" macro="[0]!IR_DIN_LAN_ORC">
                <anchor>
                  <from>
                    <xdr:col>7</xdr:col>
                    <xdr:colOff>990600</xdr:colOff>
                    <xdr:row>0</xdr:row>
                    <xdr:rowOff>7620</xdr:rowOff>
                  </from>
                  <to>
                    <xdr:col>8</xdr:col>
                    <xdr:colOff>922020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13" name="Button 37">
              <controlPr defaultSize="0" autoFill="0" autoPict="0" macro="[0]!IR_RESUMO_FAT">
                <anchor>
                  <from>
                    <xdr:col>8</xdr:col>
                    <xdr:colOff>952500</xdr:colOff>
                    <xdr:row>0</xdr:row>
                    <xdr:rowOff>0</xdr:rowOff>
                  </from>
                  <to>
                    <xdr:col>9</xdr:col>
                    <xdr:colOff>556260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14" name="Button 38">
              <controlPr defaultSize="0" autoFill="0" autoPict="0" macro="[0]!IR_DIN_AP">
                <anchor>
                  <from>
                    <xdr:col>9</xdr:col>
                    <xdr:colOff>601980</xdr:colOff>
                    <xdr:row>0</xdr:row>
                    <xdr:rowOff>0</xdr:rowOff>
                  </from>
                  <to>
                    <xdr:col>10</xdr:col>
                    <xdr:colOff>617220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21">
    <tabColor theme="6" tint="0.79998168889431442"/>
  </sheetPr>
  <dimension ref="A1:O8"/>
  <sheetViews>
    <sheetView showGridLines="0" zoomScale="85" zoomScaleNormal="85" workbookViewId="0">
      <selection activeCell="F20" sqref="F20"/>
    </sheetView>
  </sheetViews>
  <sheetFormatPr defaultColWidth="0" defaultRowHeight="14.4" x14ac:dyDescent="0.3"/>
  <cols>
    <col min="1" max="1" width="15.44140625" customWidth="1"/>
    <col min="2" max="2" width="13.5546875" customWidth="1"/>
    <col min="3" max="3" width="10.6640625" bestFit="1" customWidth="1"/>
    <col min="4" max="4" width="16.109375" customWidth="1"/>
    <col min="5" max="5" width="22.88671875" customWidth="1"/>
    <col min="6" max="6" width="93.88671875" customWidth="1"/>
    <col min="7" max="7" width="24.109375" bestFit="1" customWidth="1"/>
    <col min="8" max="8" width="23.88671875" bestFit="1" customWidth="1"/>
    <col min="9" max="9" width="38.88671875" bestFit="1" customWidth="1"/>
    <col min="10" max="10" width="14.33203125" bestFit="1" customWidth="1"/>
    <col min="11" max="11" width="12.88671875" bestFit="1" customWidth="1"/>
    <col min="12" max="12" width="47.88671875" customWidth="1"/>
    <col min="13" max="13" width="20.88671875" bestFit="1" customWidth="1"/>
    <col min="14" max="14" width="23.77734375" bestFit="1" customWidth="1"/>
    <col min="15" max="15" width="9.109375" customWidth="1"/>
    <col min="16" max="16384" width="9.109375" hidden="1"/>
  </cols>
  <sheetData>
    <row r="1" spans="1:14" ht="50.25" customHeigh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4" ht="2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</row>
    <row r="4" spans="1:14" x14ac:dyDescent="0.3">
      <c r="C4" s="177" t="s">
        <v>173</v>
      </c>
      <c r="D4" s="177"/>
      <c r="E4" s="97">
        <f>GETPIVOTDATA("Soma de VALOR ORÇADO",$N$8)</f>
        <v>0</v>
      </c>
    </row>
    <row r="6" spans="1:14" x14ac:dyDescent="0.3">
      <c r="C6" s="81" t="s">
        <v>0</v>
      </c>
      <c r="D6" s="81" t="s">
        <v>1</v>
      </c>
      <c r="E6" s="81" t="s">
        <v>2</v>
      </c>
      <c r="F6" s="81" t="s">
        <v>3</v>
      </c>
      <c r="G6" s="81" t="s">
        <v>4</v>
      </c>
      <c r="H6" s="81" t="s">
        <v>177</v>
      </c>
      <c r="I6" s="81" t="s">
        <v>7</v>
      </c>
      <c r="J6" s="81" t="s">
        <v>176</v>
      </c>
      <c r="K6" s="81" t="s">
        <v>8</v>
      </c>
      <c r="L6" s="81" t="s">
        <v>9</v>
      </c>
      <c r="M6" s="81" t="s">
        <v>78</v>
      </c>
      <c r="N6" t="s">
        <v>194</v>
      </c>
    </row>
    <row r="7" spans="1:14" x14ac:dyDescent="0.3">
      <c r="C7" t="s">
        <v>262</v>
      </c>
      <c r="D7" t="s">
        <v>262</v>
      </c>
      <c r="E7" t="s">
        <v>262</v>
      </c>
      <c r="F7" t="s">
        <v>262</v>
      </c>
      <c r="G7" t="s">
        <v>262</v>
      </c>
      <c r="H7" s="154" t="s">
        <v>147</v>
      </c>
      <c r="I7" t="s">
        <v>262</v>
      </c>
      <c r="J7" t="s">
        <v>262</v>
      </c>
      <c r="K7" t="s">
        <v>262</v>
      </c>
      <c r="L7" t="s">
        <v>147</v>
      </c>
      <c r="M7" t="s">
        <v>163</v>
      </c>
      <c r="N7" s="154"/>
    </row>
    <row r="8" spans="1:14" x14ac:dyDescent="0.3">
      <c r="C8" t="s">
        <v>261</v>
      </c>
      <c r="N8" s="154"/>
    </row>
  </sheetData>
  <mergeCells count="1">
    <mergeCell ref="C4:D4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IR_HOME">
                <anchor moveWithCells="1" sizeWithCells="1">
                  <from>
                    <xdr:col>5</xdr:col>
                    <xdr:colOff>182880</xdr:colOff>
                    <xdr:row>35</xdr:row>
                    <xdr:rowOff>99060</xdr:rowOff>
                  </from>
                  <to>
                    <xdr:col>5</xdr:col>
                    <xdr:colOff>1249680</xdr:colOff>
                    <xdr:row>37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5" name="Button 28">
              <controlPr defaultSize="0" print="0" autoFill="0" autoPict="0" macro="[0]!IR_HOME">
                <anchor>
                  <from>
                    <xdr:col>2</xdr:col>
                    <xdr:colOff>0</xdr:colOff>
                    <xdr:row>0</xdr:row>
                    <xdr:rowOff>7620</xdr:rowOff>
                  </from>
                  <to>
                    <xdr:col>3</xdr:col>
                    <xdr:colOff>220980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6" name="Button 29">
              <controlPr defaultSize="0" print="0" autoFill="0" autoPict="0" macro="[0]!IR_DIN_LAN_FATU">
                <anchor>
                  <from>
                    <xdr:col>3</xdr:col>
                    <xdr:colOff>281940</xdr:colOff>
                    <xdr:row>0</xdr:row>
                    <xdr:rowOff>7620</xdr:rowOff>
                  </from>
                  <to>
                    <xdr:col>4</xdr:col>
                    <xdr:colOff>83820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7" name="Button 30">
              <controlPr defaultSize="0" print="0" autoFill="0" autoPict="0" macro="[0]!IR_DIN_LAN_OP">
                <anchor>
                  <from>
                    <xdr:col>4</xdr:col>
                    <xdr:colOff>144780</xdr:colOff>
                    <xdr:row>0</xdr:row>
                    <xdr:rowOff>7620</xdr:rowOff>
                  </from>
                  <to>
                    <xdr:col>4</xdr:col>
                    <xdr:colOff>1097280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8" name="Button 31">
              <controlPr defaultSize="0" print="0" autoFill="0" autoPict="0" macro="[0]!IR_DIN_LAN_COMPRA">
                <anchor>
                  <from>
                    <xdr:col>4</xdr:col>
                    <xdr:colOff>1165860</xdr:colOff>
                    <xdr:row>0</xdr:row>
                    <xdr:rowOff>7620</xdr:rowOff>
                  </from>
                  <to>
                    <xdr:col>5</xdr:col>
                    <xdr:colOff>548640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9" name="Button 32">
              <controlPr defaultSize="0" print="0" autoFill="0" autoPict="0" macro="[0]!IR_DIN_LAN_DESP">
                <anchor>
                  <from>
                    <xdr:col>5</xdr:col>
                    <xdr:colOff>609600</xdr:colOff>
                    <xdr:row>0</xdr:row>
                    <xdr:rowOff>7620</xdr:rowOff>
                  </from>
                  <to>
                    <xdr:col>5</xdr:col>
                    <xdr:colOff>1569720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10" name="Button 33">
              <controlPr defaultSize="0" print="0" autoFill="0" autoPict="0" macro="[0]!IR_DIN_LAN_DESL">
                <anchor>
                  <from>
                    <xdr:col>5</xdr:col>
                    <xdr:colOff>1630680</xdr:colOff>
                    <xdr:row>0</xdr:row>
                    <xdr:rowOff>7620</xdr:rowOff>
                  </from>
                  <to>
                    <xdr:col>5</xdr:col>
                    <xdr:colOff>2590800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11" name="Button 34">
              <controlPr defaultSize="0" print="0" autoFill="0" autoPict="0" macro="[0]!IR_DIN_LAN_HORAS">
                <anchor>
                  <from>
                    <xdr:col>5</xdr:col>
                    <xdr:colOff>2651760</xdr:colOff>
                    <xdr:row>0</xdr:row>
                    <xdr:rowOff>7620</xdr:rowOff>
                  </from>
                  <to>
                    <xdr:col>5</xdr:col>
                    <xdr:colOff>3604260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12" name="Button 36">
              <controlPr defaultSize="0" print="0" autoFill="0" autoPict="0" macro="[0]!IR_DIN_LAN_FATU_EXTRA">
                <anchor>
                  <from>
                    <xdr:col>5</xdr:col>
                    <xdr:colOff>3665220</xdr:colOff>
                    <xdr:row>0</xdr:row>
                    <xdr:rowOff>7620</xdr:rowOff>
                  </from>
                  <to>
                    <xdr:col>5</xdr:col>
                    <xdr:colOff>4739640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13" name="Button 37">
              <controlPr defaultSize="0" autoFill="0" autoPict="0" macro="[0]!IR_DIN_LAN_ORC">
                <anchor>
                  <from>
                    <xdr:col>5</xdr:col>
                    <xdr:colOff>4785360</xdr:colOff>
                    <xdr:row>0</xdr:row>
                    <xdr:rowOff>7620</xdr:rowOff>
                  </from>
                  <to>
                    <xdr:col>5</xdr:col>
                    <xdr:colOff>5867400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14" name="Button 38">
              <controlPr defaultSize="0" autoFill="0" autoPict="0" macro="[0]!IR_RESUMO_FAT">
                <anchor>
                  <from>
                    <xdr:col>5</xdr:col>
                    <xdr:colOff>5905500</xdr:colOff>
                    <xdr:row>0</xdr:row>
                    <xdr:rowOff>0</xdr:rowOff>
                  </from>
                  <to>
                    <xdr:col>6</xdr:col>
                    <xdr:colOff>556260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15" name="Button 39">
              <controlPr defaultSize="0" autoFill="0" autoPict="0" macro="[0]!IR_DIN_AP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7</xdr:col>
                    <xdr:colOff>45720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9">
    <tabColor theme="9" tint="0.79998168889431442"/>
  </sheetPr>
  <dimension ref="A1:N29"/>
  <sheetViews>
    <sheetView zoomScale="85" zoomScaleNormal="85" workbookViewId="0">
      <selection activeCell="H6" sqref="H6"/>
    </sheetView>
  </sheetViews>
  <sheetFormatPr defaultColWidth="0" defaultRowHeight="14.4" zeroHeight="1" x14ac:dyDescent="0.3"/>
  <cols>
    <col min="1" max="1" width="11.5546875" bestFit="1" customWidth="1"/>
    <col min="2" max="14" width="10.6640625" bestFit="1" customWidth="1"/>
    <col min="15" max="16384" width="9.109375" hidden="1"/>
  </cols>
  <sheetData>
    <row r="1" spans="1:14" x14ac:dyDescent="0.3">
      <c r="A1" s="13" t="s">
        <v>78</v>
      </c>
      <c r="B1" s="14" t="s">
        <v>87</v>
      </c>
      <c r="C1" s="14" t="s">
        <v>88</v>
      </c>
      <c r="D1" s="180" t="s">
        <v>89</v>
      </c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6" t="s">
        <v>28</v>
      </c>
      <c r="B2" s="17">
        <f t="shared" ref="B2:C13" si="0">IF(AND($H$6=$A$16),A17,IF(AND($H$6=$C$16),C17,IF(AND($H$6=$E$16),E17,IF(AND($H$6=$G$16),G17,IF(AND($H$6=$I$16),I17,IF(AND($H$6=$K$16),K17,IF(AND($H$6=$M$16),M17,"FORA DO CALENDARIO")))))))</f>
        <v>44556</v>
      </c>
      <c r="C2" s="17">
        <f t="shared" si="0"/>
        <v>44586</v>
      </c>
      <c r="D2" s="181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6" t="s">
        <v>30</v>
      </c>
      <c r="B3" s="17">
        <f t="shared" si="0"/>
        <v>44587</v>
      </c>
      <c r="C3" s="17">
        <f t="shared" si="0"/>
        <v>44617</v>
      </c>
      <c r="D3" s="181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6" t="s">
        <v>90</v>
      </c>
      <c r="B4" s="17">
        <f t="shared" si="0"/>
        <v>44618</v>
      </c>
      <c r="C4" s="17">
        <f t="shared" si="0"/>
        <v>44645</v>
      </c>
      <c r="D4" s="181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6" t="s">
        <v>91</v>
      </c>
      <c r="B5" s="17">
        <f t="shared" si="0"/>
        <v>44646</v>
      </c>
      <c r="C5" s="17">
        <f t="shared" si="0"/>
        <v>44676</v>
      </c>
      <c r="D5" s="181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6" t="s">
        <v>92</v>
      </c>
      <c r="B6" s="17">
        <f t="shared" si="0"/>
        <v>44677</v>
      </c>
      <c r="C6" s="17">
        <f t="shared" si="0"/>
        <v>44706</v>
      </c>
      <c r="D6" s="181"/>
      <c r="E6" s="15"/>
      <c r="F6" s="15"/>
      <c r="G6" s="18"/>
      <c r="H6" s="19">
        <f>HOME!M5</f>
        <v>2022</v>
      </c>
      <c r="I6" s="15"/>
      <c r="J6" s="15"/>
      <c r="K6" s="15"/>
      <c r="L6" s="15"/>
      <c r="M6" s="15"/>
      <c r="N6" s="15"/>
    </row>
    <row r="7" spans="1:14" x14ac:dyDescent="0.3">
      <c r="A7" s="16" t="s">
        <v>93</v>
      </c>
      <c r="B7" s="17">
        <f t="shared" si="0"/>
        <v>44707</v>
      </c>
      <c r="C7" s="17">
        <f t="shared" si="0"/>
        <v>44737</v>
      </c>
      <c r="D7" s="181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6" t="s">
        <v>94</v>
      </c>
      <c r="B8" s="17">
        <f t="shared" si="0"/>
        <v>44738</v>
      </c>
      <c r="C8" s="17">
        <f t="shared" si="0"/>
        <v>44767</v>
      </c>
      <c r="D8" s="181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6" t="s">
        <v>95</v>
      </c>
      <c r="B9" s="17">
        <f t="shared" si="0"/>
        <v>44768</v>
      </c>
      <c r="C9" s="17">
        <f t="shared" si="0"/>
        <v>44798</v>
      </c>
      <c r="D9" s="181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6" t="s">
        <v>96</v>
      </c>
      <c r="B10" s="17">
        <f t="shared" si="0"/>
        <v>44799</v>
      </c>
      <c r="C10" s="17">
        <f t="shared" si="0"/>
        <v>44829</v>
      </c>
      <c r="D10" s="181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6" t="s">
        <v>97</v>
      </c>
      <c r="B11" s="17">
        <f t="shared" si="0"/>
        <v>44830</v>
      </c>
      <c r="C11" s="17">
        <f t="shared" si="0"/>
        <v>44859</v>
      </c>
      <c r="D11" s="181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6" t="s">
        <v>98</v>
      </c>
      <c r="B12" s="17">
        <f t="shared" si="0"/>
        <v>44860</v>
      </c>
      <c r="C12" s="17">
        <f t="shared" si="0"/>
        <v>44890</v>
      </c>
      <c r="D12" s="181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6" t="s">
        <v>99</v>
      </c>
      <c r="B13" s="17">
        <f t="shared" si="0"/>
        <v>44891</v>
      </c>
      <c r="C13" s="17">
        <f t="shared" si="0"/>
        <v>44920</v>
      </c>
      <c r="D13" s="182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78">
        <v>2017</v>
      </c>
      <c r="B16" s="179"/>
      <c r="C16" s="178">
        <v>2018</v>
      </c>
      <c r="D16" s="179"/>
      <c r="E16" s="178">
        <v>2019</v>
      </c>
      <c r="F16" s="179"/>
      <c r="G16" s="178">
        <v>2020</v>
      </c>
      <c r="H16" s="179"/>
      <c r="I16" s="178">
        <v>2021</v>
      </c>
      <c r="J16" s="179"/>
      <c r="K16" s="20">
        <v>2022</v>
      </c>
      <c r="L16" s="21"/>
      <c r="M16" s="178">
        <v>2023</v>
      </c>
      <c r="N16" s="179"/>
    </row>
    <row r="17" spans="1:14" x14ac:dyDescent="0.3">
      <c r="A17" s="22">
        <v>42730</v>
      </c>
      <c r="B17" s="23">
        <v>42760</v>
      </c>
      <c r="C17" s="22">
        <v>43095</v>
      </c>
      <c r="D17" s="23">
        <v>43125</v>
      </c>
      <c r="E17" s="22">
        <v>43460</v>
      </c>
      <c r="F17" s="23">
        <v>43490</v>
      </c>
      <c r="G17" s="22">
        <v>43825</v>
      </c>
      <c r="H17" s="23">
        <v>43855</v>
      </c>
      <c r="I17" s="22">
        <v>44191</v>
      </c>
      <c r="J17" s="23">
        <v>44221</v>
      </c>
      <c r="K17" s="22">
        <v>44556</v>
      </c>
      <c r="L17" s="23">
        <v>44586</v>
      </c>
      <c r="M17" s="1">
        <v>44556</v>
      </c>
      <c r="N17" s="23">
        <v>44951</v>
      </c>
    </row>
    <row r="18" spans="1:14" x14ac:dyDescent="0.3">
      <c r="A18" s="22">
        <v>42761</v>
      </c>
      <c r="B18" s="23">
        <v>42791</v>
      </c>
      <c r="C18" s="22">
        <v>43126</v>
      </c>
      <c r="D18" s="23">
        <v>43156</v>
      </c>
      <c r="E18" s="22">
        <v>43491</v>
      </c>
      <c r="F18" s="24">
        <v>43518</v>
      </c>
      <c r="G18" s="22">
        <v>43856</v>
      </c>
      <c r="H18" s="23">
        <v>43886</v>
      </c>
      <c r="I18" s="22">
        <v>44222</v>
      </c>
      <c r="J18" s="23">
        <v>44252</v>
      </c>
      <c r="K18" s="22">
        <v>44587</v>
      </c>
      <c r="L18" s="23">
        <v>44617</v>
      </c>
      <c r="M18" s="1">
        <v>44952</v>
      </c>
      <c r="N18" s="23">
        <v>44982</v>
      </c>
    </row>
    <row r="19" spans="1:14" x14ac:dyDescent="0.3">
      <c r="A19" s="22">
        <v>42792</v>
      </c>
      <c r="B19" s="23">
        <v>42819</v>
      </c>
      <c r="C19" s="22">
        <v>43157</v>
      </c>
      <c r="D19" s="23">
        <v>43184</v>
      </c>
      <c r="E19" s="25">
        <v>43519</v>
      </c>
      <c r="F19" s="23">
        <v>43549</v>
      </c>
      <c r="G19" s="22">
        <v>43887</v>
      </c>
      <c r="H19" s="23">
        <v>43915</v>
      </c>
      <c r="I19" s="22">
        <v>44253</v>
      </c>
      <c r="J19" s="23">
        <v>44280</v>
      </c>
      <c r="K19" s="22">
        <v>44618</v>
      </c>
      <c r="L19" s="23">
        <v>44645</v>
      </c>
      <c r="M19" s="1">
        <v>44983</v>
      </c>
      <c r="N19" s="23">
        <v>45010</v>
      </c>
    </row>
    <row r="20" spans="1:14" x14ac:dyDescent="0.3">
      <c r="A20" s="22">
        <v>42820</v>
      </c>
      <c r="B20" s="23">
        <v>42850</v>
      </c>
      <c r="C20" s="22">
        <v>43185</v>
      </c>
      <c r="D20" s="23">
        <v>43215</v>
      </c>
      <c r="E20" s="22">
        <v>43550</v>
      </c>
      <c r="F20" s="23">
        <v>43580</v>
      </c>
      <c r="G20" s="22">
        <v>43916</v>
      </c>
      <c r="H20" s="23">
        <v>43946</v>
      </c>
      <c r="I20" s="22">
        <v>44281</v>
      </c>
      <c r="J20" s="23">
        <v>44311</v>
      </c>
      <c r="K20" s="22">
        <v>44646</v>
      </c>
      <c r="L20" s="23">
        <v>44676</v>
      </c>
      <c r="M20" s="1">
        <v>45011</v>
      </c>
      <c r="N20" s="23">
        <v>45041</v>
      </c>
    </row>
    <row r="21" spans="1:14" x14ac:dyDescent="0.3">
      <c r="A21" s="22">
        <v>42851</v>
      </c>
      <c r="B21" s="23">
        <v>42880</v>
      </c>
      <c r="C21" s="22">
        <v>43216</v>
      </c>
      <c r="D21" s="23">
        <v>43245</v>
      </c>
      <c r="E21" s="22">
        <v>43581</v>
      </c>
      <c r="F21" s="23">
        <v>43610</v>
      </c>
      <c r="G21" s="22">
        <v>43947</v>
      </c>
      <c r="H21" s="23">
        <v>43976</v>
      </c>
      <c r="I21" s="22">
        <v>44312</v>
      </c>
      <c r="J21" s="23">
        <v>44341</v>
      </c>
      <c r="K21" s="22">
        <v>44677</v>
      </c>
      <c r="L21" s="23">
        <v>44706</v>
      </c>
      <c r="M21" s="1">
        <v>45042</v>
      </c>
      <c r="N21" s="23">
        <v>45071</v>
      </c>
    </row>
    <row r="22" spans="1:14" x14ac:dyDescent="0.3">
      <c r="A22" s="22">
        <v>42881</v>
      </c>
      <c r="B22" s="23">
        <v>42911</v>
      </c>
      <c r="C22" s="22">
        <v>43246</v>
      </c>
      <c r="D22" s="23">
        <v>43276</v>
      </c>
      <c r="E22" s="22">
        <v>43611</v>
      </c>
      <c r="F22" s="23">
        <v>43641</v>
      </c>
      <c r="G22" s="22">
        <v>43977</v>
      </c>
      <c r="H22" s="23">
        <v>44007</v>
      </c>
      <c r="I22" s="22">
        <v>44342</v>
      </c>
      <c r="J22" s="23">
        <v>44372</v>
      </c>
      <c r="K22" s="22">
        <v>44707</v>
      </c>
      <c r="L22" s="23">
        <v>44737</v>
      </c>
      <c r="M22" s="1">
        <v>45072</v>
      </c>
      <c r="N22" s="23">
        <v>45102</v>
      </c>
    </row>
    <row r="23" spans="1:14" x14ac:dyDescent="0.3">
      <c r="A23" s="22">
        <v>42912</v>
      </c>
      <c r="B23" s="23">
        <v>42941</v>
      </c>
      <c r="C23" s="22">
        <v>43277</v>
      </c>
      <c r="D23" s="23">
        <v>43306</v>
      </c>
      <c r="E23" s="22">
        <v>43642</v>
      </c>
      <c r="F23" s="23">
        <v>43671</v>
      </c>
      <c r="G23" s="22">
        <v>44008</v>
      </c>
      <c r="H23" s="23">
        <v>44037</v>
      </c>
      <c r="I23" s="22">
        <v>44373</v>
      </c>
      <c r="J23" s="23">
        <v>44402</v>
      </c>
      <c r="K23" s="22">
        <v>44738</v>
      </c>
      <c r="L23" s="23">
        <v>44767</v>
      </c>
      <c r="M23" s="1">
        <v>45103</v>
      </c>
      <c r="N23" s="23">
        <v>45132</v>
      </c>
    </row>
    <row r="24" spans="1:14" x14ac:dyDescent="0.3">
      <c r="A24" s="22">
        <v>42942</v>
      </c>
      <c r="B24" s="23">
        <v>42972</v>
      </c>
      <c r="C24" s="22">
        <v>43307</v>
      </c>
      <c r="D24" s="23">
        <v>43337</v>
      </c>
      <c r="E24" s="22">
        <v>43672</v>
      </c>
      <c r="F24" s="23">
        <v>43702</v>
      </c>
      <c r="G24" s="22">
        <v>44038</v>
      </c>
      <c r="H24" s="23">
        <v>44068</v>
      </c>
      <c r="I24" s="22">
        <v>44403</v>
      </c>
      <c r="J24" s="23">
        <v>44433</v>
      </c>
      <c r="K24" s="22">
        <v>44768</v>
      </c>
      <c r="L24" s="23">
        <v>44798</v>
      </c>
      <c r="M24" s="1">
        <v>45133</v>
      </c>
      <c r="N24" s="23">
        <v>45163</v>
      </c>
    </row>
    <row r="25" spans="1:14" x14ac:dyDescent="0.3">
      <c r="A25" s="22">
        <v>42973</v>
      </c>
      <c r="B25" s="23">
        <v>43003</v>
      </c>
      <c r="C25" s="22">
        <v>43338</v>
      </c>
      <c r="D25" s="23">
        <v>43368</v>
      </c>
      <c r="E25" s="22">
        <v>43703</v>
      </c>
      <c r="F25" s="23">
        <v>43733</v>
      </c>
      <c r="G25" s="22">
        <v>44069</v>
      </c>
      <c r="H25" s="23">
        <v>44099</v>
      </c>
      <c r="I25" s="22">
        <v>44434</v>
      </c>
      <c r="J25" s="23">
        <v>44464</v>
      </c>
      <c r="K25" s="22">
        <v>44799</v>
      </c>
      <c r="L25" s="23">
        <v>44829</v>
      </c>
      <c r="M25" s="1">
        <v>45164</v>
      </c>
      <c r="N25" s="23">
        <v>45194</v>
      </c>
    </row>
    <row r="26" spans="1:14" x14ac:dyDescent="0.3">
      <c r="A26" s="22">
        <v>43004</v>
      </c>
      <c r="B26" s="23">
        <v>43033</v>
      </c>
      <c r="C26" s="22">
        <v>43369</v>
      </c>
      <c r="D26" s="23">
        <v>43398</v>
      </c>
      <c r="E26" s="22">
        <v>43734</v>
      </c>
      <c r="F26" s="23">
        <v>43763</v>
      </c>
      <c r="G26" s="22">
        <v>44100</v>
      </c>
      <c r="H26" s="23">
        <v>44129</v>
      </c>
      <c r="I26" s="22">
        <v>44465</v>
      </c>
      <c r="J26" s="23">
        <v>44494</v>
      </c>
      <c r="K26" s="22">
        <v>44830</v>
      </c>
      <c r="L26" s="23">
        <v>44859</v>
      </c>
      <c r="M26" s="1">
        <v>45195</v>
      </c>
      <c r="N26" s="23">
        <v>45224</v>
      </c>
    </row>
    <row r="27" spans="1:14" x14ac:dyDescent="0.3">
      <c r="A27" s="22">
        <v>43034</v>
      </c>
      <c r="B27" s="23">
        <v>43064</v>
      </c>
      <c r="C27" s="22">
        <v>43399</v>
      </c>
      <c r="D27" s="23">
        <v>43429</v>
      </c>
      <c r="E27" s="22">
        <v>43764</v>
      </c>
      <c r="F27" s="23">
        <v>43791</v>
      </c>
      <c r="G27" s="22">
        <v>44130</v>
      </c>
      <c r="H27" s="23">
        <v>44160</v>
      </c>
      <c r="I27" s="22">
        <v>44495</v>
      </c>
      <c r="J27" s="23">
        <v>44525</v>
      </c>
      <c r="K27" s="22">
        <v>44860</v>
      </c>
      <c r="L27" s="23">
        <v>44890</v>
      </c>
      <c r="M27" s="1">
        <v>45225</v>
      </c>
      <c r="N27" s="23">
        <v>45255</v>
      </c>
    </row>
    <row r="28" spans="1:14" x14ac:dyDescent="0.3">
      <c r="A28" s="26">
        <v>43065</v>
      </c>
      <c r="B28" s="27">
        <v>43094</v>
      </c>
      <c r="C28" s="26">
        <v>43430</v>
      </c>
      <c r="D28" s="27">
        <v>43459</v>
      </c>
      <c r="E28" s="26">
        <v>43792</v>
      </c>
      <c r="F28" s="27">
        <v>43824</v>
      </c>
      <c r="G28" s="26">
        <v>44161</v>
      </c>
      <c r="H28" s="27">
        <v>44190</v>
      </c>
      <c r="I28" s="26">
        <v>44526</v>
      </c>
      <c r="J28" s="27">
        <v>44555</v>
      </c>
      <c r="K28" s="26">
        <v>44891</v>
      </c>
      <c r="L28" s="27">
        <v>44920</v>
      </c>
      <c r="M28" s="28">
        <v>45256</v>
      </c>
      <c r="N28" s="27">
        <v>45285</v>
      </c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mergeCells count="7">
    <mergeCell ref="M16:N16"/>
    <mergeCell ref="D1:D13"/>
    <mergeCell ref="A16:B16"/>
    <mergeCell ref="C16:D16"/>
    <mergeCell ref="E16:F16"/>
    <mergeCell ref="G16:H16"/>
    <mergeCell ref="I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617220</xdr:colOff>
                    <xdr:row>4</xdr:row>
                    <xdr:rowOff>30480</xdr:rowOff>
                  </from>
                  <to>
                    <xdr:col>8</xdr:col>
                    <xdr:colOff>137160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R_HOME">
                <anchor>
                  <from>
                    <xdr:col>12</xdr:col>
                    <xdr:colOff>381000</xdr:colOff>
                    <xdr:row>0</xdr:row>
                    <xdr:rowOff>99060</xdr:rowOff>
                  </from>
                  <to>
                    <xdr:col>13</xdr:col>
                    <xdr:colOff>502920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0">
    <tabColor theme="9" tint="0.79998168889431442"/>
  </sheetPr>
  <dimension ref="A1:N33"/>
  <sheetViews>
    <sheetView zoomScale="85" zoomScaleNormal="85" workbookViewId="0">
      <selection activeCell="K24" sqref="K24"/>
    </sheetView>
  </sheetViews>
  <sheetFormatPr defaultRowHeight="14.4" x14ac:dyDescent="0.3"/>
  <cols>
    <col min="1" max="1" width="17" bestFit="1" customWidth="1"/>
    <col min="2" max="2" width="14.88671875" bestFit="1" customWidth="1"/>
    <col min="3" max="5" width="10.109375" bestFit="1" customWidth="1"/>
    <col min="7" max="7" width="8.88671875" bestFit="1" customWidth="1"/>
    <col min="9" max="9" width="23.109375" bestFit="1" customWidth="1"/>
    <col min="10" max="10" width="24.88671875" customWidth="1"/>
    <col min="11" max="11" width="15" bestFit="1" customWidth="1"/>
    <col min="12" max="12" width="29" bestFit="1" customWidth="1"/>
  </cols>
  <sheetData>
    <row r="1" spans="1:14" x14ac:dyDescent="0.3">
      <c r="A1" s="29" t="s">
        <v>58</v>
      </c>
      <c r="B1" s="29" t="s">
        <v>100</v>
      </c>
      <c r="C1" s="30" t="s">
        <v>101</v>
      </c>
      <c r="D1" s="30" t="s">
        <v>102</v>
      </c>
      <c r="E1" s="31" t="s">
        <v>103</v>
      </c>
      <c r="G1" s="5" t="s">
        <v>79</v>
      </c>
      <c r="I1" t="s">
        <v>107</v>
      </c>
      <c r="J1" t="s">
        <v>108</v>
      </c>
      <c r="K1" t="s">
        <v>8</v>
      </c>
      <c r="L1" t="s">
        <v>109</v>
      </c>
      <c r="M1" t="s">
        <v>51</v>
      </c>
      <c r="N1" t="s">
        <v>110</v>
      </c>
    </row>
    <row r="2" spans="1:14" x14ac:dyDescent="0.3">
      <c r="A2" s="32" t="s">
        <v>223</v>
      </c>
      <c r="B2" s="34">
        <v>39</v>
      </c>
      <c r="C2" s="35">
        <f>Tabela1211[[#This Row],[CUSTO HORA]]*1.6</f>
        <v>62.400000000000006</v>
      </c>
      <c r="D2" s="35">
        <f>Tabela1211[[#This Row],[CUSTO HORA]]*1.75</f>
        <v>68.25</v>
      </c>
      <c r="E2" s="36">
        <f>Tabela1211[[#This Row],[CUSTO HORA]]*2</f>
        <v>78</v>
      </c>
      <c r="G2" s="6" t="s">
        <v>104</v>
      </c>
      <c r="I2" t="s">
        <v>214</v>
      </c>
      <c r="J2" t="s">
        <v>44</v>
      </c>
      <c r="K2" t="s">
        <v>29</v>
      </c>
      <c r="L2" t="s">
        <v>111</v>
      </c>
      <c r="M2" t="s">
        <v>112</v>
      </c>
      <c r="N2" t="s">
        <v>79</v>
      </c>
    </row>
    <row r="3" spans="1:14" x14ac:dyDescent="0.3">
      <c r="A3" s="32" t="s">
        <v>224</v>
      </c>
      <c r="B3" s="34">
        <v>56</v>
      </c>
      <c r="C3" s="35">
        <f>Tabela1211[[#This Row],[CUSTO HORA]]*1.6</f>
        <v>89.600000000000009</v>
      </c>
      <c r="D3" s="35">
        <f>Tabela1211[[#This Row],[CUSTO HORA]]*1.75</f>
        <v>98</v>
      </c>
      <c r="E3" s="36">
        <f>Tabela1211[[#This Row],[CUSTO HORA]]*2</f>
        <v>112</v>
      </c>
      <c r="G3" s="5" t="s">
        <v>105</v>
      </c>
      <c r="I3" t="s">
        <v>215</v>
      </c>
      <c r="J3" t="s">
        <v>113</v>
      </c>
      <c r="K3" t="s">
        <v>32</v>
      </c>
      <c r="L3" t="s">
        <v>114</v>
      </c>
      <c r="M3" t="s">
        <v>115</v>
      </c>
      <c r="N3" t="s">
        <v>104</v>
      </c>
    </row>
    <row r="4" spans="1:14" x14ac:dyDescent="0.3">
      <c r="A4" s="32" t="s">
        <v>225</v>
      </c>
      <c r="B4" s="34">
        <v>57</v>
      </c>
      <c r="C4" s="35">
        <f>Tabela1211[[#This Row],[CUSTO HORA]]*1.6</f>
        <v>91.2</v>
      </c>
      <c r="D4" s="35">
        <f>Tabela1211[[#This Row],[CUSTO HORA]]*1.75</f>
        <v>99.75</v>
      </c>
      <c r="E4" s="36">
        <f>Tabela1211[[#This Row],[CUSTO HORA]]*2</f>
        <v>114</v>
      </c>
      <c r="G4" s="6" t="s">
        <v>106</v>
      </c>
      <c r="I4" t="s">
        <v>216</v>
      </c>
      <c r="J4" t="s">
        <v>116</v>
      </c>
      <c r="K4" t="s">
        <v>117</v>
      </c>
      <c r="L4" t="s">
        <v>118</v>
      </c>
      <c r="M4" t="s">
        <v>119</v>
      </c>
      <c r="N4" t="s">
        <v>105</v>
      </c>
    </row>
    <row r="5" spans="1:14" x14ac:dyDescent="0.3">
      <c r="A5" s="32" t="s">
        <v>226</v>
      </c>
      <c r="B5" s="34">
        <v>85</v>
      </c>
      <c r="C5" s="35">
        <f>Tabela1211[[#This Row],[CUSTO HORA]]*1.6</f>
        <v>136</v>
      </c>
      <c r="D5" s="35">
        <f>Tabela1211[[#This Row],[CUSTO HORA]]*1.75</f>
        <v>148.75</v>
      </c>
      <c r="E5" s="36">
        <f>Tabela1211[[#This Row],[CUSTO HORA]]*2</f>
        <v>170</v>
      </c>
      <c r="I5" t="s">
        <v>217</v>
      </c>
      <c r="J5" t="s">
        <v>45</v>
      </c>
      <c r="K5" t="s">
        <v>33</v>
      </c>
      <c r="L5" t="s">
        <v>120</v>
      </c>
      <c r="M5" t="s">
        <v>121</v>
      </c>
      <c r="N5" t="s">
        <v>106</v>
      </c>
    </row>
    <row r="6" spans="1:14" x14ac:dyDescent="0.3">
      <c r="A6" s="32" t="s">
        <v>227</v>
      </c>
      <c r="B6" s="34">
        <v>53</v>
      </c>
      <c r="C6" s="35">
        <f>Tabela1211[[#This Row],[CUSTO HORA]]*1.6</f>
        <v>84.800000000000011</v>
      </c>
      <c r="D6" s="35">
        <f>Tabela1211[[#This Row],[CUSTO HORA]]*1.75</f>
        <v>92.75</v>
      </c>
      <c r="E6" s="36">
        <f>Tabela1211[[#This Row],[CUSTO HORA]]*2</f>
        <v>106</v>
      </c>
      <c r="I6" t="s">
        <v>218</v>
      </c>
      <c r="J6" t="s">
        <v>122</v>
      </c>
      <c r="K6" t="s">
        <v>123</v>
      </c>
    </row>
    <row r="7" spans="1:14" x14ac:dyDescent="0.3">
      <c r="A7" s="32" t="s">
        <v>228</v>
      </c>
      <c r="B7" s="34">
        <v>29</v>
      </c>
      <c r="C7" s="35">
        <f>Tabela1211[[#This Row],[CUSTO HORA]]*1.6</f>
        <v>46.400000000000006</v>
      </c>
      <c r="D7" s="35">
        <f>Tabela1211[[#This Row],[CUSTO HORA]]*1.75</f>
        <v>50.75</v>
      </c>
      <c r="E7" s="36">
        <f>Tabela1211[[#This Row],[CUSTO HORA]]*2</f>
        <v>58</v>
      </c>
      <c r="I7" t="s">
        <v>219</v>
      </c>
      <c r="J7" t="s">
        <v>124</v>
      </c>
      <c r="K7" t="s">
        <v>125</v>
      </c>
    </row>
    <row r="8" spans="1:14" x14ac:dyDescent="0.3">
      <c r="A8" s="32" t="s">
        <v>229</v>
      </c>
      <c r="B8" s="34">
        <v>62</v>
      </c>
      <c r="C8" s="35">
        <f>Tabela1211[[#This Row],[CUSTO HORA]]*1.6</f>
        <v>99.2</v>
      </c>
      <c r="D8" s="35">
        <f>Tabela1211[[#This Row],[CUSTO HORA]]*1.75</f>
        <v>108.5</v>
      </c>
      <c r="E8" s="36">
        <f>Tabela1211[[#This Row],[CUSTO HORA]]*2</f>
        <v>124</v>
      </c>
      <c r="I8" t="s">
        <v>220</v>
      </c>
      <c r="J8" t="s">
        <v>126</v>
      </c>
    </row>
    <row r="9" spans="1:14" x14ac:dyDescent="0.3">
      <c r="A9" s="32" t="s">
        <v>230</v>
      </c>
      <c r="B9" s="34">
        <v>34</v>
      </c>
      <c r="C9" s="35">
        <f>Tabela1211[[#This Row],[CUSTO HORA]]*1.6</f>
        <v>54.400000000000006</v>
      </c>
      <c r="D9" s="35">
        <f>Tabela1211[[#This Row],[CUSTO HORA]]*1.75</f>
        <v>59.5</v>
      </c>
      <c r="E9" s="36">
        <f>Tabela1211[[#This Row],[CUSTO HORA]]*2</f>
        <v>68</v>
      </c>
      <c r="I9" t="s">
        <v>221</v>
      </c>
    </row>
    <row r="10" spans="1:14" x14ac:dyDescent="0.3">
      <c r="A10" s="32" t="s">
        <v>231</v>
      </c>
      <c r="B10" s="34">
        <v>29</v>
      </c>
      <c r="C10" s="35">
        <f>Tabela1211[[#This Row],[CUSTO HORA]]*1.6</f>
        <v>46.400000000000006</v>
      </c>
      <c r="D10" s="35">
        <f>Tabela1211[[#This Row],[CUSTO HORA]]*1.75</f>
        <v>50.75</v>
      </c>
      <c r="E10" s="36">
        <f>Tabela1211[[#This Row],[CUSTO HORA]]*2</f>
        <v>58</v>
      </c>
      <c r="I10" t="s">
        <v>222</v>
      </c>
    </row>
    <row r="11" spans="1:14" x14ac:dyDescent="0.3">
      <c r="A11" s="32" t="s">
        <v>232</v>
      </c>
      <c r="B11" s="34">
        <v>157</v>
      </c>
      <c r="C11" s="35">
        <f>Tabela1211[[#This Row],[CUSTO HORA]]*1.6</f>
        <v>251.20000000000002</v>
      </c>
      <c r="D11" s="35">
        <f>Tabela1211[[#This Row],[CUSTO HORA]]*1.75</f>
        <v>274.75</v>
      </c>
      <c r="E11" s="36">
        <f>Tabela1211[[#This Row],[CUSTO HORA]]*2</f>
        <v>314</v>
      </c>
    </row>
    <row r="12" spans="1:14" x14ac:dyDescent="0.3">
      <c r="A12" s="32" t="s">
        <v>233</v>
      </c>
      <c r="B12" s="34">
        <v>77</v>
      </c>
      <c r="C12" s="35">
        <f>Tabela1211[[#This Row],[CUSTO HORA]]*1.6</f>
        <v>123.2</v>
      </c>
      <c r="D12" s="35">
        <f>Tabela1211[[#This Row],[CUSTO HORA]]*1.75</f>
        <v>134.75</v>
      </c>
      <c r="E12" s="36">
        <f>Tabela1211[[#This Row],[CUSTO HORA]]*2</f>
        <v>154</v>
      </c>
    </row>
    <row r="13" spans="1:14" x14ac:dyDescent="0.3">
      <c r="A13" s="32" t="s">
        <v>234</v>
      </c>
      <c r="B13" s="34">
        <v>29</v>
      </c>
      <c r="C13" s="35">
        <f>Tabela1211[[#This Row],[CUSTO HORA]]*1.6</f>
        <v>46.400000000000006</v>
      </c>
      <c r="D13" s="35">
        <f>Tabela1211[[#This Row],[CUSTO HORA]]*1.75</f>
        <v>50.75</v>
      </c>
      <c r="E13" s="36">
        <f>Tabela1211[[#This Row],[CUSTO HORA]]*2</f>
        <v>58</v>
      </c>
    </row>
    <row r="14" spans="1:14" x14ac:dyDescent="0.3">
      <c r="A14" s="32" t="s">
        <v>235</v>
      </c>
      <c r="B14" s="34">
        <v>53</v>
      </c>
      <c r="C14" s="35">
        <f>Tabela1211[[#This Row],[CUSTO HORA]]*1.6</f>
        <v>84.800000000000011</v>
      </c>
      <c r="D14" s="35">
        <f>Tabela1211[[#This Row],[CUSTO HORA]]*1.75</f>
        <v>92.75</v>
      </c>
      <c r="E14" s="36">
        <f>Tabela1211[[#This Row],[CUSTO HORA]]*2</f>
        <v>106</v>
      </c>
    </row>
    <row r="15" spans="1:14" x14ac:dyDescent="0.3">
      <c r="A15" s="32" t="s">
        <v>236</v>
      </c>
      <c r="B15" s="34">
        <v>53</v>
      </c>
      <c r="C15" s="35">
        <f>Tabela1211[[#This Row],[CUSTO HORA]]*1.6</f>
        <v>84.800000000000011</v>
      </c>
      <c r="D15" s="35">
        <f>Tabela1211[[#This Row],[CUSTO HORA]]*1.75</f>
        <v>92.75</v>
      </c>
      <c r="E15" s="36">
        <f>Tabela1211[[#This Row],[CUSTO HORA]]*2</f>
        <v>106</v>
      </c>
    </row>
    <row r="16" spans="1:14" x14ac:dyDescent="0.3">
      <c r="A16" s="32" t="s">
        <v>237</v>
      </c>
      <c r="B16" s="34">
        <v>53</v>
      </c>
      <c r="C16" s="35">
        <f>Tabela1211[[#This Row],[CUSTO HORA]]*1.6</f>
        <v>84.800000000000011</v>
      </c>
      <c r="D16" s="35">
        <f>Tabela1211[[#This Row],[CUSTO HORA]]*1.75</f>
        <v>92.75</v>
      </c>
      <c r="E16" s="36">
        <f>Tabela1211[[#This Row],[CUSTO HORA]]*2</f>
        <v>106</v>
      </c>
    </row>
    <row r="17" spans="1:5" x14ac:dyDescent="0.3">
      <c r="A17" s="32" t="s">
        <v>238</v>
      </c>
      <c r="B17" s="34">
        <v>112</v>
      </c>
      <c r="C17" s="35">
        <f>Tabela1211[[#This Row],[CUSTO HORA]]*1.6</f>
        <v>179.20000000000002</v>
      </c>
      <c r="D17" s="35">
        <f>Tabela1211[[#This Row],[CUSTO HORA]]*1.75</f>
        <v>196</v>
      </c>
      <c r="E17" s="36">
        <f>Tabela1211[[#This Row],[CUSTO HORA]]*2</f>
        <v>224</v>
      </c>
    </row>
    <row r="18" spans="1:5" x14ac:dyDescent="0.3">
      <c r="A18" s="32" t="s">
        <v>239</v>
      </c>
      <c r="B18" s="34">
        <v>66</v>
      </c>
      <c r="C18" s="35">
        <f>Tabela1211[[#This Row],[CUSTO HORA]]*1.6</f>
        <v>105.60000000000001</v>
      </c>
      <c r="D18" s="35">
        <f>Tabela1211[[#This Row],[CUSTO HORA]]*1.75</f>
        <v>115.5</v>
      </c>
      <c r="E18" s="36">
        <f>Tabela1211[[#This Row],[CUSTO HORA]]*2</f>
        <v>132</v>
      </c>
    </row>
    <row r="19" spans="1:5" x14ac:dyDescent="0.3">
      <c r="A19" s="32" t="s">
        <v>240</v>
      </c>
      <c r="B19" s="34">
        <v>29</v>
      </c>
      <c r="C19" s="35">
        <f>Tabela1211[[#This Row],[CUSTO HORA]]*1.6</f>
        <v>46.400000000000006</v>
      </c>
      <c r="D19" s="35">
        <f>Tabela1211[[#This Row],[CUSTO HORA]]*1.75</f>
        <v>50.75</v>
      </c>
      <c r="E19" s="36">
        <f>Tabela1211[[#This Row],[CUSTO HORA]]*2</f>
        <v>58</v>
      </c>
    </row>
    <row r="20" spans="1:5" x14ac:dyDescent="0.3">
      <c r="A20" s="32" t="s">
        <v>241</v>
      </c>
      <c r="B20" s="34">
        <v>34</v>
      </c>
      <c r="C20" s="35">
        <f>Tabela1211[[#This Row],[CUSTO HORA]]*1.6</f>
        <v>54.400000000000006</v>
      </c>
      <c r="D20" s="35">
        <f>Tabela1211[[#This Row],[CUSTO HORA]]*1.75</f>
        <v>59.5</v>
      </c>
      <c r="E20" s="36">
        <f>Tabela1211[[#This Row],[CUSTO HORA]]*2</f>
        <v>68</v>
      </c>
    </row>
    <row r="21" spans="1:5" x14ac:dyDescent="0.3">
      <c r="A21" s="32" t="s">
        <v>242</v>
      </c>
      <c r="B21" s="34">
        <v>112</v>
      </c>
      <c r="C21" s="35">
        <f>Tabela1211[[#This Row],[CUSTO HORA]]*1.6</f>
        <v>179.20000000000002</v>
      </c>
      <c r="D21" s="35">
        <f>Tabela1211[[#This Row],[CUSTO HORA]]*1.75</f>
        <v>196</v>
      </c>
      <c r="E21" s="36">
        <f>Tabela1211[[#This Row],[CUSTO HORA]]*2</f>
        <v>224</v>
      </c>
    </row>
    <row r="22" spans="1:5" x14ac:dyDescent="0.3">
      <c r="A22" s="32" t="s">
        <v>243</v>
      </c>
      <c r="B22" s="34">
        <v>157</v>
      </c>
      <c r="C22" s="35">
        <f>Tabela1211[[#This Row],[CUSTO HORA]]*1.6</f>
        <v>251.20000000000002</v>
      </c>
      <c r="D22" s="35">
        <f>Tabela1211[[#This Row],[CUSTO HORA]]*1.75</f>
        <v>274.75</v>
      </c>
      <c r="E22" s="36">
        <f>Tabela1211[[#This Row],[CUSTO HORA]]*2</f>
        <v>314</v>
      </c>
    </row>
    <row r="23" spans="1:5" x14ac:dyDescent="0.3">
      <c r="A23" s="32" t="s">
        <v>244</v>
      </c>
      <c r="B23" s="34">
        <v>53</v>
      </c>
      <c r="C23" s="35">
        <f>Tabela1211[[#This Row],[CUSTO HORA]]*1.6</f>
        <v>84.800000000000011</v>
      </c>
      <c r="D23" s="35">
        <f>Tabela1211[[#This Row],[CUSTO HORA]]*1.75</f>
        <v>92.75</v>
      </c>
      <c r="E23" s="36">
        <f>Tabela1211[[#This Row],[CUSTO HORA]]*2</f>
        <v>106</v>
      </c>
    </row>
    <row r="24" spans="1:5" x14ac:dyDescent="0.3">
      <c r="A24" s="32" t="s">
        <v>245</v>
      </c>
      <c r="B24" s="34">
        <v>70</v>
      </c>
      <c r="C24" s="35">
        <f>Tabela1211[[#This Row],[CUSTO HORA]]*1.6</f>
        <v>112</v>
      </c>
      <c r="D24" s="35">
        <f>Tabela1211[[#This Row],[CUSTO HORA]]*1.75</f>
        <v>122.5</v>
      </c>
      <c r="E24" s="36">
        <f>Tabela1211[[#This Row],[CUSTO HORA]]*2</f>
        <v>140</v>
      </c>
    </row>
    <row r="25" spans="1:5" x14ac:dyDescent="0.3">
      <c r="A25" s="32" t="s">
        <v>246</v>
      </c>
      <c r="B25" s="34">
        <v>70</v>
      </c>
      <c r="C25" s="35">
        <f>Tabela1211[[#This Row],[CUSTO HORA]]*1.6</f>
        <v>112</v>
      </c>
      <c r="D25" s="35">
        <f>Tabela1211[[#This Row],[CUSTO HORA]]*1.75</f>
        <v>122.5</v>
      </c>
      <c r="E25" s="36">
        <f>Tabela1211[[#This Row],[CUSTO HORA]]*2</f>
        <v>140</v>
      </c>
    </row>
    <row r="26" spans="1:5" x14ac:dyDescent="0.3">
      <c r="A26" s="32" t="s">
        <v>247</v>
      </c>
      <c r="B26" s="34">
        <v>53</v>
      </c>
      <c r="C26" s="35">
        <f>Tabela1211[[#This Row],[CUSTO HORA]]*1.6</f>
        <v>84.800000000000011</v>
      </c>
      <c r="D26" s="35">
        <f>Tabela1211[[#This Row],[CUSTO HORA]]*1.75</f>
        <v>92.75</v>
      </c>
      <c r="E26" s="36">
        <f>Tabela1211[[#This Row],[CUSTO HORA]]*2</f>
        <v>106</v>
      </c>
    </row>
    <row r="27" spans="1:5" x14ac:dyDescent="0.3">
      <c r="A27" s="32" t="s">
        <v>248</v>
      </c>
      <c r="B27" s="34">
        <v>70</v>
      </c>
      <c r="C27" s="35">
        <f>Tabela1211[[#This Row],[CUSTO HORA]]*1.6</f>
        <v>112</v>
      </c>
      <c r="D27" s="35">
        <f>Tabela1211[[#This Row],[CUSTO HORA]]*1.75</f>
        <v>122.5</v>
      </c>
      <c r="E27" s="36">
        <f>Tabela1211[[#This Row],[CUSTO HORA]]*2</f>
        <v>140</v>
      </c>
    </row>
    <row r="28" spans="1:5" x14ac:dyDescent="0.3">
      <c r="A28" s="32" t="s">
        <v>249</v>
      </c>
      <c r="B28" s="34">
        <v>53</v>
      </c>
      <c r="C28" s="35">
        <f>Tabela1211[[#This Row],[CUSTO HORA]]*1.6</f>
        <v>84.800000000000011</v>
      </c>
      <c r="D28" s="35">
        <f>Tabela1211[[#This Row],[CUSTO HORA]]*1.75</f>
        <v>92.75</v>
      </c>
      <c r="E28" s="36">
        <f>Tabela1211[[#This Row],[CUSTO HORA]]*2</f>
        <v>106</v>
      </c>
    </row>
    <row r="29" spans="1:5" x14ac:dyDescent="0.3">
      <c r="A29" s="32" t="s">
        <v>250</v>
      </c>
      <c r="B29" s="34">
        <v>70</v>
      </c>
      <c r="C29" s="35">
        <f>Tabela1211[[#This Row],[CUSTO HORA]]*1.6</f>
        <v>112</v>
      </c>
      <c r="D29" s="35">
        <f>Tabela1211[[#This Row],[CUSTO HORA]]*1.75</f>
        <v>122.5</v>
      </c>
      <c r="E29" s="36">
        <f>Tabela1211[[#This Row],[CUSTO HORA]]*2</f>
        <v>140</v>
      </c>
    </row>
    <row r="30" spans="1:5" x14ac:dyDescent="0.3">
      <c r="A30" s="32" t="s">
        <v>251</v>
      </c>
      <c r="B30" s="34">
        <v>57</v>
      </c>
      <c r="C30" s="35">
        <f>Tabela1211[[#This Row],[CUSTO HORA]]*1.6</f>
        <v>91.2</v>
      </c>
      <c r="D30" s="35">
        <f>Tabela1211[[#This Row],[CUSTO HORA]]*1.75</f>
        <v>99.75</v>
      </c>
      <c r="E30" s="36">
        <f>Tabela1211[[#This Row],[CUSTO HORA]]*2</f>
        <v>114</v>
      </c>
    </row>
    <row r="31" spans="1:5" x14ac:dyDescent="0.3">
      <c r="A31" s="32" t="s">
        <v>252</v>
      </c>
      <c r="B31" s="34">
        <v>53</v>
      </c>
      <c r="C31" s="35">
        <f>Tabela1211[[#This Row],[CUSTO HORA]]*1.6</f>
        <v>84.800000000000011</v>
      </c>
      <c r="D31" s="35">
        <f>Tabela1211[[#This Row],[CUSTO HORA]]*1.75</f>
        <v>92.75</v>
      </c>
      <c r="E31" s="36">
        <f>Tabela1211[[#This Row],[CUSTO HORA]]*2</f>
        <v>106</v>
      </c>
    </row>
    <row r="32" spans="1:5" x14ac:dyDescent="0.3">
      <c r="A32" s="32"/>
      <c r="B32" s="34"/>
      <c r="C32" s="35"/>
      <c r="D32" s="35"/>
      <c r="E32" s="36"/>
    </row>
    <row r="33" spans="1:5" x14ac:dyDescent="0.3">
      <c r="A33" s="33"/>
      <c r="B33" s="37"/>
      <c r="C33" s="38"/>
      <c r="D33" s="38"/>
      <c r="E33" s="3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R_HOME">
                <anchor>
                  <from>
                    <xdr:col>14</xdr:col>
                    <xdr:colOff>182880</xdr:colOff>
                    <xdr:row>0</xdr:row>
                    <xdr:rowOff>83820</xdr:rowOff>
                  </from>
                  <to>
                    <xdr:col>15</xdr:col>
                    <xdr:colOff>419100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0">
    <tabColor theme="5" tint="0.39997558519241921"/>
  </sheetPr>
  <dimension ref="B1:L50"/>
  <sheetViews>
    <sheetView showGridLines="0" zoomScale="70" zoomScaleNormal="70" workbookViewId="0">
      <selection activeCell="R12" sqref="R12"/>
    </sheetView>
  </sheetViews>
  <sheetFormatPr defaultRowHeight="14.4" x14ac:dyDescent="0.3"/>
  <cols>
    <col min="1" max="1" width="5.6640625" customWidth="1"/>
    <col min="2" max="2" width="26.109375" customWidth="1"/>
    <col min="3" max="3" width="28" bestFit="1" customWidth="1"/>
    <col min="4" max="4" width="20.109375" customWidth="1"/>
    <col min="5" max="5" width="12" bestFit="1" customWidth="1"/>
    <col min="6" max="6" width="15.5546875" customWidth="1"/>
    <col min="7" max="7" width="22" customWidth="1"/>
    <col min="8" max="8" width="9.5546875" bestFit="1" customWidth="1"/>
    <col min="9" max="9" width="18.5546875" customWidth="1"/>
    <col min="11" max="11" width="13.33203125" customWidth="1"/>
    <col min="12" max="12" width="19.6640625" customWidth="1"/>
    <col min="13" max="13" width="7" customWidth="1"/>
    <col min="14" max="14" width="4" customWidth="1"/>
  </cols>
  <sheetData>
    <row r="1" spans="2:12" ht="18" x14ac:dyDescent="0.35"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2" spans="2:12" ht="24" customHeight="1" x14ac:dyDescent="0.35">
      <c r="B2" s="98"/>
      <c r="C2" s="98"/>
      <c r="D2" s="98"/>
      <c r="E2" s="98"/>
      <c r="F2" s="98"/>
      <c r="G2" s="98"/>
      <c r="H2" s="98"/>
      <c r="I2" s="189" t="s">
        <v>178</v>
      </c>
      <c r="J2" s="189"/>
      <c r="K2" s="190"/>
      <c r="L2" s="99">
        <v>4309</v>
      </c>
    </row>
    <row r="3" spans="2:12" ht="18" x14ac:dyDescent="0.35"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</row>
    <row r="4" spans="2:12" ht="18" x14ac:dyDescent="0.35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</row>
    <row r="5" spans="2:12" ht="18" x14ac:dyDescent="0.35">
      <c r="B5" s="100"/>
      <c r="C5" s="101"/>
      <c r="D5" s="101"/>
      <c r="E5" s="101"/>
      <c r="F5" s="101"/>
      <c r="G5" s="101"/>
      <c r="H5" s="101"/>
      <c r="I5" s="101"/>
      <c r="J5" s="101"/>
      <c r="K5" s="101"/>
      <c r="L5" s="102"/>
    </row>
    <row r="6" spans="2:12" ht="18" x14ac:dyDescent="0.35">
      <c r="B6" s="103" t="s">
        <v>179</v>
      </c>
      <c r="C6" s="104" t="e">
        <f>VLOOKUP(L2,LAN_OP[],2,0)</f>
        <v>#N/A</v>
      </c>
      <c r="D6" s="98"/>
      <c r="E6" s="188" t="s">
        <v>180</v>
      </c>
      <c r="F6" s="184"/>
      <c r="G6" s="105" t="e">
        <f>VLOOKUP(L2,LAN_OP[],6,0)</f>
        <v>#N/A</v>
      </c>
      <c r="H6" s="106"/>
      <c r="I6" s="106"/>
      <c r="J6" s="106"/>
      <c r="K6" s="106"/>
      <c r="L6" s="107"/>
    </row>
    <row r="7" spans="2:12" ht="18" x14ac:dyDescent="0.35">
      <c r="B7" s="108"/>
      <c r="C7" s="98"/>
      <c r="D7" s="98"/>
      <c r="E7" s="98"/>
      <c r="F7" s="98"/>
      <c r="G7" s="98"/>
      <c r="H7" s="98"/>
      <c r="I7" s="98"/>
      <c r="J7" s="98"/>
      <c r="K7" s="98"/>
      <c r="L7" s="109"/>
    </row>
    <row r="8" spans="2:12" ht="18" x14ac:dyDescent="0.35">
      <c r="B8" s="103" t="s">
        <v>2</v>
      </c>
      <c r="C8" s="105" t="e">
        <f>VLOOKUP(L2,LAN_OP[],4,0)</f>
        <v>#N/A</v>
      </c>
      <c r="D8" s="110"/>
      <c r="E8" s="110"/>
      <c r="F8" s="110"/>
      <c r="G8" s="110"/>
      <c r="H8" s="111"/>
      <c r="I8" s="98"/>
      <c r="J8" s="188" t="s">
        <v>6</v>
      </c>
      <c r="K8" s="184"/>
      <c r="L8" s="112" t="e">
        <f>VLOOKUP(L2,LAN_OP[],9,0)</f>
        <v>#N/A</v>
      </c>
    </row>
    <row r="9" spans="2:12" ht="18" x14ac:dyDescent="0.35">
      <c r="B9" s="108"/>
      <c r="C9" s="98"/>
      <c r="D9" s="98"/>
      <c r="E9" s="98"/>
      <c r="F9" s="98"/>
      <c r="G9" s="98"/>
      <c r="H9" s="98"/>
      <c r="I9" s="98"/>
      <c r="J9" s="113"/>
      <c r="K9" s="113"/>
      <c r="L9" s="114"/>
    </row>
    <row r="10" spans="2:12" ht="18" x14ac:dyDescent="0.35">
      <c r="B10" s="103" t="s">
        <v>181</v>
      </c>
      <c r="C10" s="115" t="e">
        <f>VLOOKUP(L2,LAN_OP[],13,0)</f>
        <v>#N/A</v>
      </c>
      <c r="D10" s="98"/>
      <c r="E10" s="188" t="s">
        <v>182</v>
      </c>
      <c r="F10" s="184"/>
      <c r="G10" s="191" t="e">
        <f>VLOOKUP(L2,LAN_OP[],14,0)</f>
        <v>#N/A</v>
      </c>
      <c r="H10" s="192"/>
      <c r="I10" s="98"/>
      <c r="J10" s="188" t="s">
        <v>4</v>
      </c>
      <c r="K10" s="184"/>
      <c r="L10" s="112" t="e">
        <f>VLOOKUP(L2,LAN_OP[],7,0)</f>
        <v>#N/A</v>
      </c>
    </row>
    <row r="11" spans="2:12" ht="18" x14ac:dyDescent="0.35">
      <c r="B11" s="108"/>
      <c r="C11" s="98"/>
      <c r="D11" s="98"/>
      <c r="E11" s="98"/>
      <c r="F11" s="98"/>
      <c r="G11" s="98"/>
      <c r="H11" s="98"/>
      <c r="I11" s="98"/>
      <c r="J11" s="98"/>
      <c r="K11" s="98"/>
      <c r="L11" s="109"/>
    </row>
    <row r="12" spans="2:12" ht="18" x14ac:dyDescent="0.35">
      <c r="B12" s="103" t="s">
        <v>1</v>
      </c>
      <c r="C12" s="104" t="e">
        <f>VLOOKUP(L2,LAN_OP[],3,0)</f>
        <v>#N/A</v>
      </c>
      <c r="D12" s="98"/>
      <c r="E12" s="116" t="s">
        <v>183</v>
      </c>
      <c r="F12" s="116"/>
      <c r="G12" s="117" t="e">
        <f>VLOOKUP(L2,LAN_OP[],8,0)</f>
        <v>#N/A</v>
      </c>
      <c r="H12" s="98"/>
      <c r="I12" s="98"/>
      <c r="J12" s="98"/>
      <c r="K12" s="98"/>
      <c r="L12" s="109"/>
    </row>
    <row r="13" spans="2:12" ht="18" x14ac:dyDescent="0.35">
      <c r="B13" s="108"/>
      <c r="C13" s="113"/>
      <c r="D13" s="98"/>
      <c r="E13" s="98"/>
      <c r="F13" s="98"/>
      <c r="G13" s="98"/>
      <c r="H13" s="98"/>
      <c r="I13" s="98"/>
      <c r="J13" s="98"/>
      <c r="K13" s="98"/>
      <c r="L13" s="109"/>
    </row>
    <row r="14" spans="2:12" ht="18" x14ac:dyDescent="0.35">
      <c r="B14" s="183" t="s">
        <v>184</v>
      </c>
      <c r="C14" s="184"/>
      <c r="D14" s="105" t="e">
        <f>VLOOKUP(L2,LAN_OP[],12,0)</f>
        <v>#N/A</v>
      </c>
      <c r="E14" s="106"/>
      <c r="F14" s="118"/>
      <c r="G14" s="98"/>
      <c r="H14" s="188" t="s">
        <v>185</v>
      </c>
      <c r="I14" s="184"/>
      <c r="J14" s="105" t="e">
        <f>VLOOKUP(L2,LAN_OP[],11,0)</f>
        <v>#N/A</v>
      </c>
      <c r="K14" s="106"/>
      <c r="L14" s="107"/>
    </row>
    <row r="15" spans="2:12" ht="18" x14ac:dyDescent="0.35">
      <c r="B15" s="119"/>
      <c r="C15" s="120"/>
      <c r="D15" s="120"/>
      <c r="E15" s="120"/>
      <c r="F15" s="120"/>
      <c r="G15" s="120"/>
      <c r="H15" s="120"/>
      <c r="I15" s="120"/>
      <c r="J15" s="121"/>
      <c r="K15" s="121"/>
      <c r="L15" s="122"/>
    </row>
    <row r="16" spans="2:12" ht="18" x14ac:dyDescent="0.35"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</row>
    <row r="17" spans="2:12" ht="18" x14ac:dyDescent="0.35"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2"/>
    </row>
    <row r="18" spans="2:12" ht="18" x14ac:dyDescent="0.35">
      <c r="B18" s="108"/>
      <c r="C18" s="98"/>
      <c r="D18" s="98"/>
      <c r="E18" s="98"/>
      <c r="F18" s="98"/>
      <c r="G18" s="98"/>
      <c r="H18" s="98"/>
      <c r="I18" s="98"/>
      <c r="J18" s="98"/>
      <c r="K18" s="98"/>
      <c r="L18" s="109"/>
    </row>
    <row r="19" spans="2:12" ht="18" x14ac:dyDescent="0.35">
      <c r="B19" s="108"/>
      <c r="C19" s="98"/>
      <c r="D19" s="98"/>
      <c r="E19" s="98"/>
      <c r="F19" s="98"/>
      <c r="G19" s="98"/>
      <c r="H19" s="98"/>
      <c r="I19" s="98"/>
      <c r="J19" s="98"/>
      <c r="K19" s="98"/>
      <c r="L19" s="109"/>
    </row>
    <row r="20" spans="2:12" ht="18" x14ac:dyDescent="0.35">
      <c r="B20" s="183" t="s">
        <v>186</v>
      </c>
      <c r="C20" s="188"/>
      <c r="D20" s="185" t="e">
        <f>VLOOKUP(L2,LAN_OP[],25,0)</f>
        <v>#N/A</v>
      </c>
      <c r="E20" s="186"/>
      <c r="F20" s="187"/>
      <c r="G20" s="98"/>
      <c r="H20" s="188" t="s">
        <v>187</v>
      </c>
      <c r="I20" s="188"/>
      <c r="J20" s="98"/>
      <c r="K20" s="98"/>
      <c r="L20" s="123" t="e">
        <f>VLOOKUP(L2,LAN_OP[],23,0)</f>
        <v>#N/A</v>
      </c>
    </row>
    <row r="21" spans="2:12" ht="18" x14ac:dyDescent="0.35">
      <c r="B21" s="108"/>
      <c r="C21" s="98"/>
      <c r="D21" s="98"/>
      <c r="E21" s="98"/>
      <c r="F21" s="98"/>
      <c r="G21" s="98"/>
      <c r="H21" s="98"/>
      <c r="I21" s="98"/>
      <c r="J21" s="98"/>
      <c r="K21" s="98"/>
      <c r="L21" s="109"/>
    </row>
    <row r="22" spans="2:12" ht="18" x14ac:dyDescent="0.35">
      <c r="B22" s="183" t="s">
        <v>188</v>
      </c>
      <c r="C22" s="184"/>
      <c r="D22" s="185" t="e">
        <f>VLOOKUP(L2,LAN_OP[],26,0)</f>
        <v>#N/A</v>
      </c>
      <c r="E22" s="186"/>
      <c r="F22" s="187"/>
      <c r="G22" s="98"/>
      <c r="H22" s="188" t="s">
        <v>189</v>
      </c>
      <c r="I22" s="188"/>
      <c r="J22" s="98"/>
      <c r="K22" s="98"/>
      <c r="L22" s="123" t="e">
        <f>VLOOKUP(L2,LAN_OP[],24,0)</f>
        <v>#N/A</v>
      </c>
    </row>
    <row r="23" spans="2:12" ht="18" x14ac:dyDescent="0.35">
      <c r="B23" s="108"/>
      <c r="C23" s="98"/>
      <c r="D23" s="98"/>
      <c r="E23" s="98"/>
      <c r="F23" s="98"/>
      <c r="G23" s="98"/>
      <c r="H23" s="98"/>
      <c r="I23" s="98"/>
      <c r="J23" s="98"/>
      <c r="K23" s="98"/>
      <c r="L23" s="109"/>
    </row>
    <row r="24" spans="2:12" ht="18" x14ac:dyDescent="0.35">
      <c r="B24" s="108"/>
      <c r="C24" s="98"/>
      <c r="D24" s="98"/>
      <c r="E24" s="98"/>
      <c r="F24" s="98"/>
      <c r="G24" s="98"/>
      <c r="H24" s="98"/>
      <c r="I24" s="98"/>
      <c r="J24" s="98"/>
      <c r="K24" s="98"/>
      <c r="L24" s="109"/>
    </row>
    <row r="25" spans="2:12" ht="18" x14ac:dyDescent="0.35">
      <c r="B25" s="108"/>
      <c r="C25" s="98"/>
      <c r="D25" s="98"/>
      <c r="E25" s="98"/>
      <c r="F25" s="98"/>
      <c r="G25" s="98"/>
      <c r="H25" s="98"/>
      <c r="I25" s="98"/>
      <c r="J25" s="98"/>
      <c r="K25" s="98"/>
      <c r="L25" s="109"/>
    </row>
    <row r="26" spans="2:12" ht="18" x14ac:dyDescent="0.35">
      <c r="B26" s="183" t="s">
        <v>19</v>
      </c>
      <c r="C26" s="188"/>
      <c r="D26" s="124" t="e">
        <f>VLOOKUP(L2,LAN_OP[],27,0)</f>
        <v>#N/A</v>
      </c>
      <c r="E26" s="98"/>
      <c r="F26" s="98"/>
      <c r="G26" s="98"/>
      <c r="H26" s="188" t="s">
        <v>190</v>
      </c>
      <c r="I26" s="188"/>
      <c r="J26" s="188"/>
      <c r="K26" s="203" t="e">
        <f>VLOOKUP(L2,LAN_OP[],28,0)</f>
        <v>#N/A</v>
      </c>
      <c r="L26" s="204"/>
    </row>
    <row r="27" spans="2:12" ht="18" x14ac:dyDescent="0.35">
      <c r="B27" s="108"/>
      <c r="C27" s="98"/>
      <c r="D27" s="98"/>
      <c r="E27" s="98"/>
      <c r="F27" s="98"/>
      <c r="G27" s="98"/>
      <c r="H27" s="98"/>
      <c r="I27" s="98"/>
      <c r="J27" s="98"/>
      <c r="K27" s="98"/>
      <c r="L27" s="109"/>
    </row>
    <row r="28" spans="2:12" ht="18" x14ac:dyDescent="0.35">
      <c r="B28" s="108"/>
      <c r="C28" s="98"/>
      <c r="D28" s="98"/>
      <c r="E28" s="98"/>
      <c r="F28" s="98"/>
      <c r="G28" s="98"/>
      <c r="H28" s="98"/>
      <c r="I28" s="98"/>
      <c r="J28" s="98"/>
      <c r="K28" s="98"/>
      <c r="L28" s="109"/>
    </row>
    <row r="29" spans="2:12" ht="18" x14ac:dyDescent="0.35">
      <c r="B29" s="108"/>
      <c r="C29" s="98"/>
      <c r="D29" s="98"/>
      <c r="E29" s="98"/>
      <c r="F29" s="98"/>
      <c r="G29" s="98"/>
      <c r="H29" s="98"/>
      <c r="I29" s="98"/>
      <c r="J29" s="98"/>
      <c r="K29" s="98"/>
      <c r="L29" s="109"/>
    </row>
    <row r="30" spans="2:12" ht="15" customHeight="1" x14ac:dyDescent="0.35">
      <c r="B30" s="183" t="s">
        <v>13</v>
      </c>
      <c r="C30" s="188"/>
      <c r="D30" s="125" t="e">
        <f>VLOOKUP(L2,LAN_OP[],21,0)</f>
        <v>#N/A</v>
      </c>
      <c r="E30" s="98"/>
      <c r="F30" s="98"/>
      <c r="G30" s="98"/>
      <c r="H30" s="116" t="s">
        <v>191</v>
      </c>
      <c r="I30" s="116"/>
      <c r="J30" s="116"/>
      <c r="K30" s="126"/>
      <c r="L30" s="123" t="e">
        <f>VLOOKUP(L2,LAN_OP[],31,0)</f>
        <v>#N/A</v>
      </c>
    </row>
    <row r="31" spans="2:12" ht="18" x14ac:dyDescent="0.35"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7"/>
    </row>
    <row r="32" spans="2:12" ht="18" x14ac:dyDescent="0.35"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2:12" ht="18" x14ac:dyDescent="0.35"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2"/>
    </row>
    <row r="34" spans="2:12" ht="18" x14ac:dyDescent="0.35">
      <c r="B34" s="108"/>
      <c r="C34" s="98"/>
      <c r="D34" s="98"/>
      <c r="E34" s="98"/>
      <c r="F34" s="98"/>
      <c r="G34" s="98"/>
      <c r="H34" s="98"/>
      <c r="I34" s="98"/>
      <c r="J34" s="98"/>
      <c r="K34" s="98"/>
      <c r="L34" s="109"/>
    </row>
    <row r="35" spans="2:12" ht="18" x14ac:dyDescent="0.35">
      <c r="B35" s="108"/>
      <c r="C35" s="98"/>
      <c r="D35" s="98"/>
      <c r="E35" s="98"/>
      <c r="F35" s="98"/>
      <c r="G35" s="98"/>
      <c r="H35" s="98"/>
      <c r="I35" s="98"/>
      <c r="J35" s="98"/>
      <c r="K35" s="98"/>
      <c r="L35" s="109"/>
    </row>
    <row r="36" spans="2:12" ht="18" x14ac:dyDescent="0.35">
      <c r="B36" s="183" t="s">
        <v>192</v>
      </c>
      <c r="C36" s="188"/>
      <c r="D36" s="205" t="e">
        <f>VLOOKUP(L2,LAN_OP[],18,0)</f>
        <v>#N/A</v>
      </c>
      <c r="E36" s="206"/>
      <c r="F36" s="207"/>
      <c r="G36" s="98"/>
      <c r="H36" s="98"/>
      <c r="I36" s="116"/>
      <c r="J36" s="116" t="s">
        <v>12</v>
      </c>
      <c r="K36" s="98"/>
      <c r="L36" s="123" t="e">
        <f>VLOOKUP(L2,LAN_OP[],20,0)</f>
        <v>#N/A</v>
      </c>
    </row>
    <row r="37" spans="2:12" ht="18" x14ac:dyDescent="0.35">
      <c r="B37" s="108"/>
      <c r="C37" s="98"/>
      <c r="D37" s="98"/>
      <c r="E37" s="98"/>
      <c r="F37" s="98"/>
      <c r="G37" s="98"/>
      <c r="H37" s="98"/>
      <c r="I37" s="98"/>
      <c r="J37" s="98"/>
      <c r="K37" s="98"/>
      <c r="L37" s="109"/>
    </row>
    <row r="38" spans="2:12" ht="18" x14ac:dyDescent="0.35">
      <c r="B38" s="183" t="s">
        <v>11</v>
      </c>
      <c r="C38" s="188"/>
      <c r="D38" s="191" t="e">
        <f>VLOOKUP(L2,LAN_OP[],19,0)</f>
        <v>#N/A</v>
      </c>
      <c r="E38" s="193"/>
      <c r="F38" s="192"/>
      <c r="G38" s="98"/>
      <c r="H38" s="98"/>
      <c r="I38" s="98"/>
      <c r="J38" s="98"/>
      <c r="K38" s="98"/>
      <c r="L38" s="109"/>
    </row>
    <row r="39" spans="2:12" ht="18" x14ac:dyDescent="0.35">
      <c r="B39" s="119"/>
      <c r="C39" s="120"/>
      <c r="D39" s="120"/>
      <c r="E39" s="120"/>
      <c r="F39" s="120"/>
      <c r="G39" s="120"/>
      <c r="H39" s="120"/>
      <c r="I39" s="120"/>
      <c r="J39" s="120"/>
      <c r="K39" s="120"/>
      <c r="L39" s="127"/>
    </row>
    <row r="40" spans="2:12" ht="18" x14ac:dyDescent="0.35"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</row>
    <row r="41" spans="2:12" ht="18" x14ac:dyDescent="0.35"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</row>
    <row r="42" spans="2:12" ht="18" x14ac:dyDescent="0.35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</row>
    <row r="43" spans="2:12" ht="18" x14ac:dyDescent="0.35">
      <c r="B43" s="98"/>
      <c r="C43" s="98"/>
      <c r="D43" s="98"/>
      <c r="E43" s="98"/>
      <c r="F43" s="98"/>
      <c r="G43" s="98"/>
      <c r="H43" s="98"/>
      <c r="I43" s="98" t="s">
        <v>193</v>
      </c>
      <c r="J43" s="98"/>
      <c r="K43" s="98"/>
      <c r="L43" s="128" t="e">
        <f>G12-L30</f>
        <v>#N/A</v>
      </c>
    </row>
    <row r="44" spans="2:12" ht="18" x14ac:dyDescent="0.35"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</row>
    <row r="45" spans="2:12" x14ac:dyDescent="0.3">
      <c r="B45" s="194" t="e">
        <f>VLOOKUP(L2,LAN_OP[],17,0)</f>
        <v>#N/A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6"/>
    </row>
    <row r="46" spans="2:12" x14ac:dyDescent="0.3">
      <c r="B46" s="197"/>
      <c r="C46" s="198"/>
      <c r="D46" s="198"/>
      <c r="E46" s="198"/>
      <c r="F46" s="198"/>
      <c r="G46" s="198"/>
      <c r="H46" s="198"/>
      <c r="I46" s="198"/>
      <c r="J46" s="198"/>
      <c r="K46" s="198"/>
      <c r="L46" s="199"/>
    </row>
    <row r="47" spans="2:12" x14ac:dyDescent="0.3">
      <c r="B47" s="197"/>
      <c r="C47" s="198"/>
      <c r="D47" s="198"/>
      <c r="E47" s="198"/>
      <c r="F47" s="198"/>
      <c r="G47" s="198"/>
      <c r="H47" s="198"/>
      <c r="I47" s="198"/>
      <c r="J47" s="198"/>
      <c r="K47" s="198"/>
      <c r="L47" s="199"/>
    </row>
    <row r="48" spans="2:12" x14ac:dyDescent="0.3">
      <c r="B48" s="197"/>
      <c r="C48" s="198"/>
      <c r="D48" s="198"/>
      <c r="E48" s="198"/>
      <c r="F48" s="198"/>
      <c r="G48" s="198"/>
      <c r="H48" s="198"/>
      <c r="I48" s="198"/>
      <c r="J48" s="198"/>
      <c r="K48" s="198"/>
      <c r="L48" s="199"/>
    </row>
    <row r="49" spans="2:12" x14ac:dyDescent="0.3">
      <c r="B49" s="200"/>
      <c r="C49" s="201"/>
      <c r="D49" s="201"/>
      <c r="E49" s="201"/>
      <c r="F49" s="201"/>
      <c r="G49" s="201"/>
      <c r="H49" s="201"/>
      <c r="I49" s="201"/>
      <c r="J49" s="201"/>
      <c r="K49" s="201"/>
      <c r="L49" s="202"/>
    </row>
    <row r="50" spans="2:12" ht="15.6" x14ac:dyDescent="0.3">
      <c r="B50" s="129"/>
      <c r="C50" s="129"/>
      <c r="D50" s="129"/>
      <c r="E50" s="129"/>
      <c r="F50" s="129"/>
      <c r="G50" s="129"/>
      <c r="H50" s="129"/>
      <c r="I50" s="129"/>
      <c r="J50" s="129"/>
      <c r="K50" s="129"/>
      <c r="L50" s="129"/>
    </row>
  </sheetData>
  <mergeCells count="23">
    <mergeCell ref="B38:C38"/>
    <mergeCell ref="D38:F38"/>
    <mergeCell ref="B45:L49"/>
    <mergeCell ref="B26:C26"/>
    <mergeCell ref="H26:J26"/>
    <mergeCell ref="K26:L26"/>
    <mergeCell ref="B30:C30"/>
    <mergeCell ref="B36:C36"/>
    <mergeCell ref="D36:F36"/>
    <mergeCell ref="B22:C22"/>
    <mergeCell ref="D22:F22"/>
    <mergeCell ref="H22:I22"/>
    <mergeCell ref="I2:K2"/>
    <mergeCell ref="E6:F6"/>
    <mergeCell ref="J8:K8"/>
    <mergeCell ref="E10:F10"/>
    <mergeCell ref="G10:H10"/>
    <mergeCell ref="J10:K10"/>
    <mergeCell ref="B14:C14"/>
    <mergeCell ref="H14:I14"/>
    <mergeCell ref="B20:C20"/>
    <mergeCell ref="D20:F20"/>
    <mergeCell ref="H20:I20"/>
  </mergeCells>
  <pageMargins left="0.511811024" right="0.511811024" top="0.78740157499999996" bottom="0.78740157499999996" header="0.31496062000000002" footer="0.31496062000000002"/>
  <pageSetup paperSize="9"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IR_HOME">
                <anchor moveWithCells="1" sizeWithCells="1">
                  <from>
                    <xdr:col>1</xdr:col>
                    <xdr:colOff>1737360</xdr:colOff>
                    <xdr:row>1</xdr:row>
                    <xdr:rowOff>30480</xdr:rowOff>
                  </from>
                  <to>
                    <xdr:col>2</xdr:col>
                    <xdr:colOff>1059180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2"/>
  <dimension ref="A1:AG23"/>
  <sheetViews>
    <sheetView workbookViewId="0">
      <selection activeCell="D13" sqref="D13"/>
    </sheetView>
  </sheetViews>
  <sheetFormatPr defaultRowHeight="14.4" x14ac:dyDescent="0.3"/>
  <cols>
    <col min="1" max="1" width="15.109375" bestFit="1" customWidth="1"/>
    <col min="2" max="2" width="21" bestFit="1" customWidth="1"/>
    <col min="3" max="3" width="18.33203125" bestFit="1" customWidth="1"/>
    <col min="4" max="4" width="10.77734375" bestFit="1" customWidth="1"/>
    <col min="5" max="5" width="14.44140625" customWidth="1"/>
    <col min="6" max="9" width="12.6640625" customWidth="1"/>
    <col min="10" max="10" width="15.109375" customWidth="1"/>
    <col min="11" max="11" width="14.44140625" customWidth="1"/>
    <col min="12" max="12" width="24.77734375" bestFit="1" customWidth="1"/>
    <col min="13" max="13" width="15.5546875" bestFit="1" customWidth="1"/>
    <col min="14" max="14" width="10.77734375" bestFit="1" customWidth="1"/>
    <col min="15" max="15" width="15.44140625" customWidth="1"/>
    <col min="16" max="16" width="12.6640625" customWidth="1"/>
    <col min="17" max="17" width="11.6640625" customWidth="1"/>
    <col min="18" max="18" width="15.44140625" customWidth="1"/>
    <col min="19" max="19" width="11.6640625" customWidth="1"/>
    <col min="20" max="20" width="34" bestFit="1" customWidth="1"/>
    <col min="21" max="21" width="15.5546875" bestFit="1" customWidth="1"/>
    <col min="22" max="22" width="10.77734375" bestFit="1" customWidth="1"/>
    <col min="23" max="25" width="12" customWidth="1"/>
    <col min="26" max="26" width="11" customWidth="1"/>
    <col min="27" max="27" width="12" customWidth="1"/>
    <col min="28" max="28" width="7.33203125" customWidth="1"/>
    <col min="29" max="29" width="7.6640625" customWidth="1"/>
    <col min="30" max="30" width="9.109375" customWidth="1"/>
    <col min="31" max="31" width="34" bestFit="1" customWidth="1"/>
    <col min="32" max="32" width="15.5546875" bestFit="1" customWidth="1"/>
    <col min="33" max="33" width="10.77734375" bestFit="1" customWidth="1"/>
    <col min="34" max="35" width="15.44140625" customWidth="1"/>
    <col min="36" max="36" width="16.44140625" customWidth="1"/>
    <col min="37" max="37" width="16.88671875" customWidth="1"/>
    <col min="38" max="38" width="12.6640625" customWidth="1"/>
    <col min="39" max="39" width="19.109375" customWidth="1"/>
    <col min="40" max="40" width="13.88671875" customWidth="1"/>
    <col min="41" max="43" width="11.6640625" customWidth="1"/>
    <col min="44" max="44" width="12.6640625" customWidth="1"/>
    <col min="45" max="45" width="19.6640625" customWidth="1"/>
    <col min="46" max="46" width="12.6640625" customWidth="1"/>
    <col min="47" max="47" width="26" customWidth="1"/>
    <col min="48" max="48" width="16.44140625" customWidth="1"/>
    <col min="49" max="50" width="10" customWidth="1"/>
    <col min="51" max="52" width="12" customWidth="1"/>
    <col min="53" max="53" width="9" customWidth="1"/>
    <col min="54" max="55" width="10" customWidth="1"/>
    <col min="56" max="56" width="12" customWidth="1"/>
    <col min="57" max="57" width="10" customWidth="1"/>
    <col min="58" max="59" width="12" customWidth="1"/>
    <col min="60" max="60" width="26.33203125" customWidth="1"/>
    <col min="61" max="61" width="12" customWidth="1"/>
    <col min="62" max="62" width="8" customWidth="1"/>
    <col min="63" max="63" width="16.33203125" customWidth="1"/>
    <col min="64" max="64" width="12" customWidth="1"/>
    <col min="65" max="65" width="13.5546875" customWidth="1"/>
    <col min="66" max="66" width="12" customWidth="1"/>
    <col min="67" max="67" width="16.44140625" customWidth="1"/>
    <col min="68" max="68" width="11.109375" customWidth="1"/>
    <col min="69" max="69" width="8.44140625" customWidth="1"/>
    <col min="70" max="70" width="9" customWidth="1"/>
    <col min="71" max="71" width="16.109375" customWidth="1"/>
    <col min="72" max="72" width="9.88671875" customWidth="1"/>
    <col min="73" max="73" width="10" customWidth="1"/>
    <col min="74" max="74" width="8" customWidth="1"/>
    <col min="75" max="75" width="10.5546875" customWidth="1"/>
    <col min="76" max="76" width="10" customWidth="1"/>
    <col min="77" max="77" width="22.33203125" customWidth="1"/>
    <col min="78" max="78" width="9" customWidth="1"/>
    <col min="79" max="79" width="10" customWidth="1"/>
    <col min="80" max="81" width="8.88671875" customWidth="1"/>
    <col min="82" max="82" width="9" customWidth="1"/>
    <col min="83" max="84" width="8" customWidth="1"/>
    <col min="85" max="85" width="8.44140625" customWidth="1"/>
    <col min="86" max="86" width="14.109375" customWidth="1"/>
    <col min="87" max="87" width="10" customWidth="1"/>
    <col min="88" max="88" width="9.109375" customWidth="1"/>
    <col min="89" max="89" width="13.5546875" customWidth="1"/>
    <col min="90" max="90" width="15.44140625" customWidth="1"/>
    <col min="91" max="91" width="16.6640625" customWidth="1"/>
    <col min="92" max="92" width="15.33203125" customWidth="1"/>
    <col min="93" max="93" width="9.44140625" customWidth="1"/>
    <col min="94" max="94" width="9.88671875" customWidth="1"/>
    <col min="95" max="95" width="9.33203125" customWidth="1"/>
    <col min="96" max="96" width="9.88671875" customWidth="1"/>
    <col min="97" max="98" width="9" customWidth="1"/>
    <col min="99" max="99" width="6.44140625" customWidth="1"/>
    <col min="100" max="100" width="9.44140625" customWidth="1"/>
    <col min="101" max="101" width="9" customWidth="1"/>
    <col min="102" max="102" width="11" customWidth="1"/>
    <col min="103" max="103" width="9" customWidth="1"/>
    <col min="104" max="104" width="8" customWidth="1"/>
    <col min="105" max="105" width="8.109375" customWidth="1"/>
    <col min="106" max="106" width="8" customWidth="1"/>
    <col min="107" max="107" width="11" customWidth="1"/>
    <col min="108" max="108" width="10" customWidth="1"/>
    <col min="109" max="109" width="15.33203125" customWidth="1"/>
    <col min="110" max="110" width="11.6640625" customWidth="1"/>
    <col min="111" max="111" width="9" customWidth="1"/>
    <col min="112" max="112" width="10" customWidth="1"/>
    <col min="113" max="113" width="8" customWidth="1"/>
    <col min="114" max="114" width="9.109375" customWidth="1"/>
    <col min="115" max="115" width="10" customWidth="1"/>
    <col min="116" max="116" width="11.33203125" customWidth="1"/>
    <col min="117" max="117" width="7" customWidth="1"/>
    <col min="118" max="118" width="13.6640625" customWidth="1"/>
    <col min="119" max="119" width="10" customWidth="1"/>
    <col min="120" max="120" width="13.5546875" customWidth="1"/>
    <col min="121" max="121" width="16.44140625" customWidth="1"/>
    <col min="122" max="122" width="11.109375" customWidth="1"/>
    <col min="123" max="123" width="9" customWidth="1"/>
    <col min="124" max="124" width="8.88671875" customWidth="1"/>
    <col min="125" max="125" width="9" customWidth="1"/>
    <col min="126" max="126" width="10" customWidth="1"/>
    <col min="127" max="127" width="8" customWidth="1"/>
    <col min="128" max="128" width="6.88671875" customWidth="1"/>
    <col min="129" max="129" width="9" customWidth="1"/>
    <col min="130" max="130" width="10" customWidth="1"/>
    <col min="131" max="131" width="10.5546875" customWidth="1"/>
    <col min="132" max="132" width="10" customWidth="1"/>
    <col min="133" max="133" width="4.88671875" customWidth="1"/>
    <col min="134" max="134" width="8" customWidth="1"/>
    <col min="135" max="136" width="10" customWidth="1"/>
    <col min="137" max="137" width="7.6640625" customWidth="1"/>
    <col min="138" max="139" width="9" customWidth="1"/>
    <col min="140" max="140" width="14.109375" customWidth="1"/>
    <col min="141" max="141" width="10" customWidth="1"/>
    <col min="142" max="142" width="7.44140625" customWidth="1"/>
    <col min="143" max="143" width="9.109375" customWidth="1"/>
    <col min="144" max="144" width="15.44140625" customWidth="1"/>
    <col min="145" max="145" width="10" customWidth="1"/>
    <col min="146" max="146" width="9.33203125" customWidth="1"/>
    <col min="147" max="147" width="9.88671875" customWidth="1"/>
    <col min="148" max="148" width="8.88671875" customWidth="1"/>
    <col min="149" max="150" width="8.33203125" customWidth="1"/>
    <col min="151" max="151" width="10" customWidth="1"/>
    <col min="152" max="152" width="9.44140625" customWidth="1"/>
    <col min="153" max="153" width="8.33203125" customWidth="1"/>
    <col min="154" max="154" width="9" customWidth="1"/>
    <col min="155" max="155" width="11" customWidth="1"/>
    <col min="156" max="156" width="6.88671875" customWidth="1"/>
    <col min="157" max="157" width="11" customWidth="1"/>
    <col min="158" max="158" width="9" customWidth="1"/>
    <col min="159" max="159" width="15.33203125" customWidth="1"/>
    <col min="160" max="160" width="11.6640625" customWidth="1"/>
    <col min="161" max="161" width="9" customWidth="1"/>
    <col min="162" max="162" width="10" customWidth="1"/>
    <col min="163" max="163" width="9.109375" customWidth="1"/>
    <col min="164" max="164" width="10" customWidth="1"/>
    <col min="165" max="165" width="12.88671875" customWidth="1"/>
    <col min="166" max="166" width="9" customWidth="1"/>
    <col min="167" max="167" width="13.6640625" customWidth="1"/>
    <col min="168" max="168" width="14.33203125" customWidth="1"/>
    <col min="169" max="169" width="9" customWidth="1"/>
    <col min="170" max="170" width="13.5546875" customWidth="1"/>
    <col min="171" max="171" width="16.44140625" customWidth="1"/>
    <col min="172" max="172" width="8.44140625" customWidth="1"/>
    <col min="173" max="173" width="9" customWidth="1"/>
    <col min="174" max="174" width="9.88671875" customWidth="1"/>
    <col min="175" max="175" width="9" customWidth="1"/>
    <col min="176" max="176" width="10.6640625" customWidth="1"/>
    <col min="177" max="178" width="9" customWidth="1"/>
    <col min="179" max="179" width="6.6640625" customWidth="1"/>
    <col min="180" max="180" width="6.44140625" customWidth="1"/>
    <col min="181" max="181" width="10.88671875" customWidth="1"/>
    <col min="182" max="182" width="9" customWidth="1"/>
    <col min="183" max="183" width="8" customWidth="1"/>
    <col min="184" max="185" width="10" customWidth="1"/>
    <col min="186" max="186" width="8" customWidth="1"/>
    <col min="187" max="187" width="10" customWidth="1"/>
    <col min="188" max="188" width="9" customWidth="1"/>
    <col min="189" max="189" width="14.109375" customWidth="1"/>
    <col min="190" max="190" width="7" customWidth="1"/>
    <col min="191" max="191" width="10" customWidth="1"/>
    <col min="192" max="192" width="9.33203125" customWidth="1"/>
    <col min="193" max="193" width="9.88671875" customWidth="1"/>
    <col min="194" max="194" width="10" customWidth="1"/>
    <col min="195" max="195" width="9.6640625" customWidth="1"/>
    <col min="196" max="196" width="10" customWidth="1"/>
    <col min="197" max="197" width="9.44140625" customWidth="1"/>
    <col min="198" max="198" width="10" customWidth="1"/>
    <col min="199" max="199" width="11" customWidth="1"/>
    <col min="200" max="200" width="8" customWidth="1"/>
    <col min="201" max="201" width="11" customWidth="1"/>
    <col min="202" max="202" width="9" customWidth="1"/>
    <col min="203" max="203" width="11.6640625" customWidth="1"/>
    <col min="204" max="204" width="9" customWidth="1"/>
    <col min="205" max="205" width="11" customWidth="1"/>
    <col min="206" max="206" width="10" customWidth="1"/>
    <col min="207" max="207" width="12.88671875" customWidth="1"/>
    <col min="208" max="208" width="8" customWidth="1"/>
    <col min="209" max="209" width="7" customWidth="1"/>
    <col min="210" max="210" width="10.33203125" customWidth="1"/>
    <col min="211" max="211" width="13.5546875" customWidth="1"/>
    <col min="212" max="212" width="16.44140625" customWidth="1"/>
    <col min="213" max="214" width="9" customWidth="1"/>
    <col min="215" max="215" width="11.44140625" customWidth="1"/>
    <col min="216" max="216" width="11.5546875" customWidth="1"/>
    <col min="217" max="217" width="9.88671875" customWidth="1"/>
    <col min="218" max="218" width="9" customWidth="1"/>
    <col min="219" max="219" width="7.5546875" customWidth="1"/>
    <col min="220" max="220" width="9" customWidth="1"/>
    <col min="221" max="221" width="10.6640625" customWidth="1"/>
    <col min="222" max="222" width="10" customWidth="1"/>
    <col min="223" max="223" width="6.6640625" customWidth="1"/>
    <col min="224" max="224" width="10.44140625" customWidth="1"/>
    <col min="225" max="225" width="6" customWidth="1"/>
    <col min="226" max="226" width="10.44140625" customWidth="1"/>
    <col min="227" max="227" width="10" customWidth="1"/>
    <col min="228" max="228" width="16.88671875" customWidth="1"/>
    <col min="229" max="229" width="10" customWidth="1"/>
    <col min="230" max="230" width="12.33203125" customWidth="1"/>
    <col min="231" max="231" width="7" customWidth="1"/>
    <col min="232" max="233" width="9" customWidth="1"/>
    <col min="234" max="234" width="9.109375" customWidth="1"/>
    <col min="235" max="235" width="9" customWidth="1"/>
    <col min="236" max="236" width="14.109375" customWidth="1"/>
    <col min="237" max="237" width="10" customWidth="1"/>
    <col min="238" max="238" width="7.88671875" customWidth="1"/>
    <col min="239" max="239" width="11" customWidth="1"/>
    <col min="240" max="240" width="9.33203125" customWidth="1"/>
    <col min="241" max="241" width="9.88671875" customWidth="1"/>
    <col min="242" max="242" width="8.109375" customWidth="1"/>
    <col min="243" max="244" width="10" customWidth="1"/>
    <col min="245" max="245" width="9" customWidth="1"/>
    <col min="246" max="246" width="9.44140625" customWidth="1"/>
    <col min="247" max="247" width="7.44140625" customWidth="1"/>
    <col min="248" max="248" width="10" customWidth="1"/>
    <col min="249" max="249" width="16.6640625" customWidth="1"/>
    <col min="250" max="250" width="12" customWidth="1"/>
    <col min="251" max="251" width="11.6640625" customWidth="1"/>
    <col min="252" max="252" width="9" customWidth="1"/>
    <col min="253" max="253" width="7.33203125" customWidth="1"/>
    <col min="254" max="254" width="10" customWidth="1"/>
    <col min="255" max="255" width="8" customWidth="1"/>
    <col min="256" max="256" width="9.33203125" customWidth="1"/>
    <col min="257" max="257" width="11.5546875" customWidth="1"/>
    <col min="258" max="258" width="9" customWidth="1"/>
    <col min="259" max="259" width="8" customWidth="1"/>
    <col min="260" max="260" width="10.44140625" customWidth="1"/>
    <col min="261" max="261" width="13.88671875" customWidth="1"/>
    <col min="262" max="263" width="9" customWidth="1"/>
    <col min="264" max="264" width="8.44140625" customWidth="1"/>
    <col min="265" max="265" width="9.44140625" customWidth="1"/>
    <col min="266" max="266" width="8.6640625" customWidth="1"/>
    <col min="267" max="267" width="9" customWidth="1"/>
    <col min="268" max="268" width="9.44140625" customWidth="1"/>
    <col min="269" max="269" width="10" customWidth="1"/>
    <col min="270" max="270" width="12" customWidth="1"/>
    <col min="271" max="271" width="9.33203125" customWidth="1"/>
    <col min="272" max="272" width="9.88671875" customWidth="1"/>
    <col min="273" max="273" width="8.109375" customWidth="1"/>
    <col min="274" max="275" width="10" customWidth="1"/>
    <col min="276" max="276" width="9" customWidth="1"/>
    <col min="277" max="277" width="9.44140625" customWidth="1"/>
    <col min="278" max="278" width="7.44140625" customWidth="1"/>
    <col min="279" max="279" width="10" customWidth="1"/>
    <col min="280" max="280" width="16.6640625" customWidth="1"/>
    <col min="281" max="281" width="12" customWidth="1"/>
    <col min="282" max="282" width="26.33203125" customWidth="1"/>
    <col min="283" max="283" width="12" customWidth="1"/>
    <col min="284" max="286" width="5" customWidth="1"/>
    <col min="287" max="287" width="8" customWidth="1"/>
    <col min="288" max="290" width="5" customWidth="1"/>
    <col min="291" max="292" width="8" customWidth="1"/>
    <col min="293" max="294" width="5" customWidth="1"/>
    <col min="295" max="295" width="8" customWidth="1"/>
    <col min="296" max="297" width="5" customWidth="1"/>
    <col min="298" max="298" width="8" customWidth="1"/>
    <col min="299" max="300" width="5" customWidth="1"/>
    <col min="301" max="301" width="8" customWidth="1"/>
    <col min="302" max="303" width="5" customWidth="1"/>
    <col min="304" max="304" width="7" customWidth="1"/>
    <col min="305" max="306" width="5" customWidth="1"/>
    <col min="307" max="308" width="7" customWidth="1"/>
    <col min="309" max="309" width="5" customWidth="1"/>
    <col min="310" max="311" width="8" customWidth="1"/>
    <col min="312" max="312" width="7" customWidth="1"/>
    <col min="313" max="313" width="5" customWidth="1"/>
    <col min="314" max="315" width="8" customWidth="1"/>
    <col min="316" max="319" width="5" customWidth="1"/>
    <col min="320" max="320" width="8" customWidth="1"/>
    <col min="321" max="321" width="5" customWidth="1"/>
    <col min="322" max="322" width="8" customWidth="1"/>
    <col min="323" max="324" width="5" customWidth="1"/>
    <col min="325" max="326" width="8" customWidth="1"/>
    <col min="327" max="327" width="7" customWidth="1"/>
    <col min="328" max="328" width="8" customWidth="1"/>
    <col min="329" max="332" width="5" customWidth="1"/>
    <col min="333" max="333" width="7" customWidth="1"/>
    <col min="334" max="337" width="8" customWidth="1"/>
    <col min="338" max="338" width="5" customWidth="1"/>
    <col min="339" max="340" width="8" customWidth="1"/>
    <col min="341" max="343" width="5" customWidth="1"/>
    <col min="344" max="344" width="8" customWidth="1"/>
    <col min="345" max="346" width="5" customWidth="1"/>
    <col min="347" max="347" width="8" customWidth="1"/>
    <col min="348" max="348" width="5" customWidth="1"/>
    <col min="349" max="349" width="8" customWidth="1"/>
    <col min="350" max="350" width="7" customWidth="1"/>
    <col min="351" max="352" width="8" customWidth="1"/>
    <col min="353" max="353" width="5" customWidth="1"/>
    <col min="354" max="354" width="8" customWidth="1"/>
    <col min="355" max="358" width="5" customWidth="1"/>
    <col min="359" max="359" width="8" customWidth="1"/>
    <col min="360" max="360" width="5" customWidth="1"/>
    <col min="361" max="361" width="8" customWidth="1"/>
    <col min="362" max="362" width="5" customWidth="1"/>
    <col min="363" max="364" width="8" customWidth="1"/>
    <col min="365" max="365" width="5" customWidth="1"/>
    <col min="366" max="366" width="7" customWidth="1"/>
    <col min="367" max="367" width="5" customWidth="1"/>
    <col min="368" max="368" width="8" customWidth="1"/>
    <col min="369" max="370" width="5" customWidth="1"/>
    <col min="371" max="371" width="8" customWidth="1"/>
    <col min="372" max="372" width="5" customWidth="1"/>
    <col min="373" max="373" width="7" customWidth="1"/>
    <col min="374" max="374" width="5" customWidth="1"/>
    <col min="375" max="375" width="8" customWidth="1"/>
    <col min="376" max="376" width="5" customWidth="1"/>
    <col min="377" max="380" width="8" customWidth="1"/>
    <col min="381" max="381" width="5" customWidth="1"/>
    <col min="382" max="382" width="8" customWidth="1"/>
    <col min="383" max="383" width="5" customWidth="1"/>
    <col min="384" max="385" width="7" customWidth="1"/>
    <col min="386" max="387" width="8" customWidth="1"/>
    <col min="388" max="388" width="5" customWidth="1"/>
    <col min="389" max="389" width="8" customWidth="1"/>
    <col min="390" max="390" width="5" customWidth="1"/>
    <col min="391" max="391" width="7" customWidth="1"/>
    <col min="392" max="394" width="5" customWidth="1"/>
    <col min="395" max="396" width="8" customWidth="1"/>
    <col min="397" max="398" width="5" customWidth="1"/>
    <col min="399" max="401" width="8" customWidth="1"/>
    <col min="402" max="403" width="5" customWidth="1"/>
    <col min="404" max="405" width="8" customWidth="1"/>
    <col min="406" max="406" width="7" customWidth="1"/>
    <col min="407" max="407" width="5" customWidth="1"/>
    <col min="408" max="409" width="8" customWidth="1"/>
    <col min="410" max="410" width="5" customWidth="1"/>
    <col min="411" max="411" width="7" customWidth="1"/>
    <col min="412" max="412" width="8" customWidth="1"/>
    <col min="413" max="413" width="7" customWidth="1"/>
    <col min="414" max="414" width="8" customWidth="1"/>
    <col min="415" max="417" width="5" customWidth="1"/>
    <col min="418" max="418" width="8" customWidth="1"/>
    <col min="419" max="420" width="5" customWidth="1"/>
    <col min="421" max="421" width="7" customWidth="1"/>
    <col min="422" max="422" width="9" customWidth="1"/>
    <col min="423" max="423" width="5" customWidth="1"/>
    <col min="424" max="424" width="8" customWidth="1"/>
    <col min="425" max="425" width="5" customWidth="1"/>
    <col min="426" max="428" width="8" customWidth="1"/>
    <col min="429" max="429" width="5" customWidth="1"/>
    <col min="430" max="430" width="8" customWidth="1"/>
    <col min="431" max="432" width="5" customWidth="1"/>
    <col min="433" max="433" width="7" customWidth="1"/>
    <col min="434" max="434" width="5" customWidth="1"/>
    <col min="435" max="437" width="8" customWidth="1"/>
    <col min="438" max="438" width="7" customWidth="1"/>
    <col min="439" max="440" width="5" customWidth="1"/>
    <col min="441" max="444" width="8" customWidth="1"/>
    <col min="445" max="446" width="7" customWidth="1"/>
    <col min="447" max="449" width="5" customWidth="1"/>
    <col min="450" max="450" width="8" customWidth="1"/>
    <col min="451" max="451" width="5" customWidth="1"/>
    <col min="452" max="452" width="7" customWidth="1"/>
    <col min="453" max="453" width="5" customWidth="1"/>
    <col min="454" max="454" width="7" customWidth="1"/>
    <col min="455" max="455" width="5" customWidth="1"/>
    <col min="456" max="456" width="7" customWidth="1"/>
    <col min="457" max="457" width="5" customWidth="1"/>
    <col min="458" max="458" width="8" customWidth="1"/>
    <col min="459" max="459" width="5" customWidth="1"/>
    <col min="460" max="460" width="7" customWidth="1"/>
    <col min="461" max="461" width="8" customWidth="1"/>
    <col min="462" max="462" width="5" customWidth="1"/>
    <col min="463" max="463" width="8" customWidth="1"/>
    <col min="464" max="464" width="5" customWidth="1"/>
    <col min="465" max="465" width="7" customWidth="1"/>
    <col min="466" max="466" width="5" customWidth="1"/>
    <col min="467" max="468" width="8" customWidth="1"/>
    <col min="469" max="470" width="5" customWidth="1"/>
    <col min="471" max="471" width="9" customWidth="1"/>
    <col min="472" max="473" width="6" customWidth="1"/>
    <col min="474" max="474" width="8" customWidth="1"/>
    <col min="475" max="475" width="6" customWidth="1"/>
    <col min="476" max="479" width="9" customWidth="1"/>
    <col min="480" max="480" width="6" customWidth="1"/>
    <col min="481" max="481" width="9" customWidth="1"/>
    <col min="482" max="482" width="6" customWidth="1"/>
    <col min="483" max="483" width="8" customWidth="1"/>
    <col min="484" max="484" width="9" customWidth="1"/>
    <col min="485" max="486" width="6" customWidth="1"/>
    <col min="487" max="487" width="9" customWidth="1"/>
    <col min="488" max="491" width="6" customWidth="1"/>
    <col min="492" max="493" width="9" customWidth="1"/>
    <col min="494" max="496" width="6" customWidth="1"/>
    <col min="497" max="497" width="9" customWidth="1"/>
    <col min="498" max="500" width="6" customWidth="1"/>
    <col min="501" max="503" width="9" customWidth="1"/>
    <col min="504" max="505" width="6" customWidth="1"/>
    <col min="506" max="506" width="8" customWidth="1"/>
    <col min="507" max="507" width="6" customWidth="1"/>
    <col min="508" max="508" width="8" customWidth="1"/>
    <col min="509" max="510" width="9" customWidth="1"/>
    <col min="511" max="511" width="6" customWidth="1"/>
    <col min="512" max="512" width="9" customWidth="1"/>
    <col min="513" max="516" width="6" customWidth="1"/>
    <col min="517" max="519" width="8" customWidth="1"/>
    <col min="520" max="520" width="6" customWidth="1"/>
    <col min="521" max="522" width="9" customWidth="1"/>
    <col min="523" max="523" width="6" customWidth="1"/>
    <col min="524" max="524" width="9" customWidth="1"/>
    <col min="525" max="525" width="6" customWidth="1"/>
    <col min="526" max="526" width="9" customWidth="1"/>
    <col min="527" max="531" width="6" customWidth="1"/>
    <col min="532" max="533" width="9" customWidth="1"/>
    <col min="534" max="536" width="6" customWidth="1"/>
    <col min="537" max="537" width="9" customWidth="1"/>
    <col min="538" max="538" width="8" customWidth="1"/>
    <col min="539" max="540" width="6" customWidth="1"/>
    <col min="541" max="541" width="9" customWidth="1"/>
    <col min="542" max="543" width="6" customWidth="1"/>
    <col min="544" max="544" width="9" customWidth="1"/>
    <col min="545" max="545" width="6" customWidth="1"/>
    <col min="546" max="548" width="9" customWidth="1"/>
    <col min="549" max="553" width="6" customWidth="1"/>
    <col min="554" max="556" width="9" customWidth="1"/>
    <col min="557" max="557" width="6" customWidth="1"/>
    <col min="558" max="563" width="9" customWidth="1"/>
    <col min="564" max="564" width="6" customWidth="1"/>
    <col min="565" max="565" width="9" customWidth="1"/>
    <col min="566" max="567" width="8" customWidth="1"/>
    <col min="568" max="568" width="6" customWidth="1"/>
    <col min="569" max="571" width="9" customWidth="1"/>
    <col min="572" max="573" width="8" customWidth="1"/>
    <col min="574" max="574" width="9" customWidth="1"/>
    <col min="575" max="578" width="6" customWidth="1"/>
    <col min="579" max="579" width="8" customWidth="1"/>
    <col min="580" max="580" width="9" customWidth="1"/>
    <col min="581" max="581" width="6" customWidth="1"/>
    <col min="582" max="583" width="9" customWidth="1"/>
    <col min="584" max="584" width="6" customWidth="1"/>
    <col min="585" max="585" width="9" customWidth="1"/>
    <col min="586" max="587" width="6" customWidth="1"/>
    <col min="588" max="589" width="9" customWidth="1"/>
    <col min="590" max="590" width="6" customWidth="1"/>
    <col min="591" max="592" width="9" customWidth="1"/>
    <col min="593" max="593" width="8" customWidth="1"/>
    <col min="594" max="594" width="9" customWidth="1"/>
    <col min="595" max="600" width="6" customWidth="1"/>
    <col min="601" max="601" width="9" customWidth="1"/>
    <col min="602" max="604" width="6" customWidth="1"/>
    <col min="605" max="606" width="9" customWidth="1"/>
    <col min="607" max="607" width="8" customWidth="1"/>
    <col min="608" max="608" width="9" customWidth="1"/>
    <col min="609" max="610" width="6" customWidth="1"/>
    <col min="611" max="611" width="9" customWidth="1"/>
    <col min="612" max="612" width="6" customWidth="1"/>
    <col min="613" max="614" width="9" customWidth="1"/>
    <col min="615" max="616" width="6" customWidth="1"/>
    <col min="617" max="617" width="9" customWidth="1"/>
    <col min="618" max="618" width="6" customWidth="1"/>
    <col min="619" max="619" width="8" customWidth="1"/>
    <col min="620" max="620" width="6" customWidth="1"/>
    <col min="621" max="621" width="9" customWidth="1"/>
    <col min="622" max="623" width="8" customWidth="1"/>
    <col min="624" max="624" width="9" customWidth="1"/>
    <col min="625" max="626" width="6" customWidth="1"/>
    <col min="627" max="627" width="9" customWidth="1"/>
    <col min="628" max="628" width="6" customWidth="1"/>
    <col min="629" max="629" width="8" customWidth="1"/>
    <col min="630" max="633" width="6" customWidth="1"/>
    <col min="634" max="635" width="9" customWidth="1"/>
    <col min="636" max="637" width="6" customWidth="1"/>
    <col min="638" max="638" width="9" customWidth="1"/>
    <col min="639" max="639" width="6" customWidth="1"/>
    <col min="640" max="640" width="8" customWidth="1"/>
    <col min="641" max="644" width="6" customWidth="1"/>
    <col min="645" max="645" width="8" customWidth="1"/>
    <col min="646" max="646" width="9" customWidth="1"/>
    <col min="647" max="649" width="6" customWidth="1"/>
    <col min="650" max="650" width="9" customWidth="1"/>
    <col min="651" max="653" width="6" customWidth="1"/>
    <col min="654" max="655" width="9" customWidth="1"/>
    <col min="656" max="657" width="6" customWidth="1"/>
    <col min="658" max="658" width="8" customWidth="1"/>
    <col min="659" max="659" width="6" customWidth="1"/>
    <col min="660" max="661" width="9" customWidth="1"/>
    <col min="662" max="662" width="6" customWidth="1"/>
    <col min="663" max="664" width="9" customWidth="1"/>
    <col min="665" max="668" width="6" customWidth="1"/>
    <col min="669" max="670" width="8" customWidth="1"/>
    <col min="671" max="676" width="6" customWidth="1"/>
    <col min="677" max="677" width="10" bestFit="1" customWidth="1"/>
    <col min="678" max="679" width="7" customWidth="1"/>
    <col min="680" max="680" width="10" bestFit="1" customWidth="1"/>
    <col min="681" max="681" width="7" customWidth="1"/>
    <col min="682" max="682" width="10" bestFit="1" customWidth="1"/>
    <col min="683" max="683" width="7" customWidth="1"/>
    <col min="684" max="686" width="10" bestFit="1" customWidth="1"/>
    <col min="687" max="687" width="7" customWidth="1"/>
    <col min="688" max="688" width="10.6640625" bestFit="1" customWidth="1"/>
  </cols>
  <sheetData>
    <row r="1" spans="1:33" x14ac:dyDescent="0.3">
      <c r="A1" s="81" t="s">
        <v>174</v>
      </c>
      <c r="C1" s="81" t="s">
        <v>1</v>
      </c>
    </row>
    <row r="2" spans="1:33" x14ac:dyDescent="0.3">
      <c r="A2" s="81" t="s">
        <v>52</v>
      </c>
      <c r="B2" s="81" t="s">
        <v>53</v>
      </c>
      <c r="C2" t="s">
        <v>265</v>
      </c>
      <c r="D2" t="s">
        <v>261</v>
      </c>
    </row>
    <row r="3" spans="1:33" x14ac:dyDescent="0.3">
      <c r="A3" t="s">
        <v>253</v>
      </c>
      <c r="B3">
        <v>1900</v>
      </c>
      <c r="C3" s="154" t="e">
        <v>#N/A</v>
      </c>
      <c r="D3" s="154" t="e">
        <v>#N/A</v>
      </c>
      <c r="L3" s="81" t="s">
        <v>196</v>
      </c>
      <c r="M3" s="81" t="s">
        <v>263</v>
      </c>
      <c r="T3" s="81" t="s">
        <v>174</v>
      </c>
      <c r="U3" s="81" t="s">
        <v>263</v>
      </c>
    </row>
    <row r="4" spans="1:33" x14ac:dyDescent="0.3">
      <c r="A4" t="s">
        <v>254</v>
      </c>
      <c r="C4" s="154" t="e">
        <v>#N/A</v>
      </c>
      <c r="D4" s="154" t="e">
        <v>#N/A</v>
      </c>
      <c r="L4" s="81" t="s">
        <v>264</v>
      </c>
      <c r="M4" t="s">
        <v>147</v>
      </c>
      <c r="N4" t="s">
        <v>261</v>
      </c>
      <c r="T4" s="81" t="s">
        <v>264</v>
      </c>
      <c r="U4">
        <v>1900</v>
      </c>
      <c r="V4" t="s">
        <v>261</v>
      </c>
      <c r="AE4" s="81" t="s">
        <v>174</v>
      </c>
      <c r="AF4" s="81" t="s">
        <v>263</v>
      </c>
    </row>
    <row r="5" spans="1:33" x14ac:dyDescent="0.3">
      <c r="A5" t="s">
        <v>261</v>
      </c>
      <c r="C5" s="154" t="e">
        <v>#N/A</v>
      </c>
      <c r="D5" s="154" t="e">
        <v>#N/A</v>
      </c>
      <c r="L5" s="80" t="s">
        <v>262</v>
      </c>
      <c r="M5" s="155"/>
      <c r="N5" s="155"/>
      <c r="T5" s="80" t="s">
        <v>265</v>
      </c>
      <c r="U5" t="e">
        <v>#N/A</v>
      </c>
      <c r="V5" t="e">
        <v>#N/A</v>
      </c>
      <c r="AE5" s="81" t="s">
        <v>264</v>
      </c>
      <c r="AF5" t="s">
        <v>262</v>
      </c>
      <c r="AG5" t="s">
        <v>261</v>
      </c>
    </row>
    <row r="6" spans="1:33" x14ac:dyDescent="0.3">
      <c r="L6" s="80" t="s">
        <v>261</v>
      </c>
      <c r="M6" s="155"/>
      <c r="N6" s="155"/>
      <c r="T6" s="80" t="s">
        <v>261</v>
      </c>
      <c r="U6" t="e">
        <v>#N/A</v>
      </c>
      <c r="V6" t="e">
        <v>#N/A</v>
      </c>
      <c r="AE6" s="80" t="s">
        <v>253</v>
      </c>
      <c r="AF6" s="154" t="e">
        <v>#N/A</v>
      </c>
      <c r="AG6" s="154" t="e">
        <v>#N/A</v>
      </c>
    </row>
    <row r="7" spans="1:33" x14ac:dyDescent="0.3">
      <c r="AE7" s="153">
        <v>1900</v>
      </c>
      <c r="AF7" s="154" t="e">
        <v>#N/A</v>
      </c>
      <c r="AG7" s="154" t="e">
        <v>#N/A</v>
      </c>
    </row>
    <row r="8" spans="1:33" x14ac:dyDescent="0.3">
      <c r="AE8" s="80" t="s">
        <v>261</v>
      </c>
      <c r="AF8" s="154" t="e">
        <v>#N/A</v>
      </c>
      <c r="AG8" s="154" t="e">
        <v>#N/A</v>
      </c>
    </row>
    <row r="20" spans="1:3" x14ac:dyDescent="0.3">
      <c r="A20" s="81" t="s">
        <v>156</v>
      </c>
      <c r="B20" s="81" t="s">
        <v>263</v>
      </c>
    </row>
    <row r="21" spans="1:3" x14ac:dyDescent="0.3">
      <c r="A21" s="81" t="s">
        <v>264</v>
      </c>
      <c r="B21" t="s">
        <v>262</v>
      </c>
      <c r="C21" t="s">
        <v>261</v>
      </c>
    </row>
    <row r="22" spans="1:3" x14ac:dyDescent="0.3">
      <c r="A22" s="80" t="s">
        <v>253</v>
      </c>
      <c r="B22" s="155"/>
      <c r="C22" s="155"/>
    </row>
    <row r="23" spans="1:3" x14ac:dyDescent="0.3">
      <c r="A23" s="80" t="s">
        <v>261</v>
      </c>
      <c r="B23" s="155"/>
      <c r="C23" s="155"/>
    </row>
  </sheetData>
  <pageMargins left="0.511811024" right="0.511811024" top="0.78740157499999996" bottom="0.78740157499999996" header="0.31496062000000002" footer="0.31496062000000002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HOME</vt:lpstr>
      <vt:lpstr>RESUMO_FATURAMENTO</vt:lpstr>
      <vt:lpstr>LANC_OS</vt:lpstr>
      <vt:lpstr>LANC_COMPRA</vt:lpstr>
      <vt:lpstr>LANC_FAT</vt:lpstr>
      <vt:lpstr>LAN_HORAS</vt:lpstr>
      <vt:lpstr>LANC_DESPESAS</vt:lpstr>
      <vt:lpstr>LANC_DESLOC</vt:lpstr>
      <vt:lpstr>LANC_ORCAMENTO</vt:lpstr>
      <vt:lpstr>DIN_LAN_OS</vt:lpstr>
      <vt:lpstr>DIN_LAN_FATU</vt:lpstr>
      <vt:lpstr>DIN_LAN_COMPRA</vt:lpstr>
      <vt:lpstr>DIN_LAN_HORAS</vt:lpstr>
      <vt:lpstr>DIN_LAN_DESL</vt:lpstr>
      <vt:lpstr>DIN_LAN_DESP</vt:lpstr>
      <vt:lpstr>DIN_LAN_OP_EXTRA</vt:lpstr>
      <vt:lpstr>DIN_LAN_FATU_EXTRA</vt:lpstr>
      <vt:lpstr>DIN_LAN_ORC</vt:lpstr>
      <vt:lpstr>CALENDARIO</vt:lpstr>
      <vt:lpstr>VALORES_HXH</vt:lpstr>
      <vt:lpstr>AP</vt:lpstr>
      <vt:lpstr>DATASHOBOARD</vt:lpstr>
      <vt:lpstr>AP!Print_Area</vt:lpstr>
      <vt:lpstr>DIN_LAN_DESP!Print_Area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LUDMILLA</dc:creator>
  <cp:lastModifiedBy>Ludmilla Silveira</cp:lastModifiedBy>
  <cp:lastPrinted>2022-04-13T12:01:13Z</cp:lastPrinted>
  <dcterms:created xsi:type="dcterms:W3CDTF">2022-02-14T12:26:45Z</dcterms:created>
  <dcterms:modified xsi:type="dcterms:W3CDTF">2026-09-10T13:39:41Z</dcterms:modified>
</cp:coreProperties>
</file>